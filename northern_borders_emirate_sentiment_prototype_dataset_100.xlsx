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7934be48a7417b" /></Relationships>
</file>

<file path=xl/workbook.xml><?xml version="1.0" encoding="utf-8"?>
<x:workbook xmlns:x="http://schemas.openxmlformats.org/spreadsheetml/2006/main">
  <x:sheets>
    <x:sheet xmlns:r="http://schemas.openxmlformats.org/officeDocument/2006/relationships" name="Data_100" sheetId="1" r:id="Raf2e10fb6b6e47ed"/>
    <x:sheet xmlns:r="http://schemas.openxmlformats.org/officeDocument/2006/relationships" name="Label_Guide" sheetId="2" r:id="Read9e80989a74409"/>
    <x:sheet xmlns:r="http://schemas.openxmlformats.org/officeDocument/2006/relationships" name="Summary" sheetId="3" r:id="R799a10d39c5e4b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
      <x:name val="Carlito"/>
    </x:font>
    <x:font>
      <x:b/>
      <x:sz val="14"/>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4">
    <x:dxf>
      <x:font>
        <x:b/>
        <x:color rgb="991B1B"/>
      </x:font>
      <x:fill>
        <x:patternFill patternType="solid">
          <x:bgColor rgb="FECACA"/>
        </x:patternFill>
      </x:fill>
    </x:dxf>
    <x:dxf>
      <x:font>
        <x:b/>
        <x:color rgb="9A3412"/>
      </x:font>
      <x:fill>
        <x:patternFill patternType="solid">
          <x:bgColor rgb="FED7AA"/>
        </x:patternFill>
      </x:fill>
    </x:dxf>
    <x:dxf>
      <x:fill>
        <x:patternFill patternType="solid">
          <x:bgColor rgb="FEE2E2"/>
        </x:patternFill>
      </x:fill>
    </x:dxf>
    <x:dxf>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598a51c044403d" /><Relationship Type="http://schemas.openxmlformats.org/officeDocument/2006/relationships/theme" Target="/xl/theme/theme1.xml" Id="R51acc70050144994" /><Relationship Type="http://schemas.openxmlformats.org/officeDocument/2006/relationships/sharedStrings" Target="/xl/sharedStrings.xml" Id="Rb2c951b84d814c37" /><Relationship Type="http://schemas.openxmlformats.org/officeDocument/2006/relationships/worksheet" Target="/xl/worksheets/sheet1.xml" Id="Raf2e10fb6b6e47ed" /><Relationship Type="http://schemas.openxmlformats.org/officeDocument/2006/relationships/worksheet" Target="/xl/worksheets/sheet2.xml" Id="Read9e80989a74409" /><Relationship Type="http://schemas.openxmlformats.org/officeDocument/2006/relationships/worksheet" Target="/xl/worksheets/sheet3.xml" Id="R799a10d39c5e4bb5" /></Relationships>
</file>

<file path=xl/tables/table1.xml><?xml version="1.0" encoding="utf-8"?>
<x:table xmlns:x="http://schemas.openxmlformats.org/spreadsheetml/2006/main" id="1" name="PrototypeData" displayName="PrototypeData" ref="A1:R101" headerRowCount="1">
  <x:tableColumns count="18">
    <x:tableColumn id="1" name="id"/>
    <x:tableColumn id="2" name="text_ar"/>
    <x:tableColumn id="3" name="channel"/>
    <x:tableColumn id="4" name="location_scope"/>
    <x:tableColumn id="5" name="beneficiary_segment"/>
    <x:tableColumn id="6" name="service_domain"/>
    <x:tableColumn id="7" name="request_type"/>
    <x:tableColumn id="8" name="sentiment"/>
    <x:tableColumn id="9" name="topic_label"/>
    <x:tableColumn id="10" name="urgency"/>
    <x:tableColumn id="11" name="priority_score"/>
    <x:tableColumn id="12" name="target_unit"/>
    <x:tableColumn id="13" name="referred_entity_type"/>
    <x:tableColumn id="14" name="recommended_action"/>
    <x:tableColumn id="15" name="expected_ai_output"/>
    <x:tableColumn id="16" name="is_synthetic"/>
    <x:tableColumn id="17" name="pii_removed"/>
    <x:tableColumn id="18" name="spli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52962a88f0430c" /></Relationships>
</file>

<file path=xl/worksheets/sheet1.xml><?xml version="1.0" encoding="utf-8"?>
<x:worksheet xmlns:x="http://schemas.openxmlformats.org/spreadsheetml/2006/main">
  <x:sheetFormatPr defaultRowHeight="15"/>
  <x:cols>
    <x:col min="1" max="1" width="12" hidden="0" customWidth="1"/>
    <x:col min="2" max="2" width="55" hidden="0" customWidth="1"/>
    <x:col min="3" max="3" width="18" hidden="0" customWidth="1"/>
    <x:col min="4" max="4" width="22" hidden="0" customWidth="1"/>
    <x:col min="5" max="5" width="18" hidden="0" customWidth="1"/>
    <x:col min="6" max="6" width="32" hidden="0" customWidth="1"/>
    <x:col min="7" max="7" width="13" hidden="0" customWidth="1"/>
    <x:col min="8" max="8" width="12" hidden="0" customWidth="1"/>
    <x:col min="9" max="9" width="25" hidden="0" customWidth="1"/>
    <x:col min="10" max="10" width="10" hidden="0" customWidth="1"/>
    <x:col min="11" max="11" width="12" hidden="0" customWidth="1"/>
    <x:col min="12" max="12" width="22" hidden="0" customWidth="1"/>
    <x:col min="13" max="13" width="22" hidden="0" customWidth="1"/>
    <x:col min="14" max="14" width="30" hidden="0" customWidth="1"/>
    <x:col min="15" max="15" width="60" hidden="0" customWidth="1"/>
    <x:col min="16" max="16" width="12" hidden="0" customWidth="1"/>
    <x:col min="17" max="17" width="12" hidden="0" customWidth="1"/>
    <x:col min="18" max="18" width="12" hidden="0" customWidth="1"/>
  </x:cols>
  <x:sheetData>
    <x:row r="1" ht="35" customHeight="1">
      <x:c r="A1" s="6" t="str">
        <x:v>id</x:v>
      </x:c>
      <x:c r="B1" s="6" t="str">
        <x:v>text_ar</x:v>
      </x:c>
      <x:c r="C1" s="6" t="str">
        <x:v>channel</x:v>
      </x:c>
      <x:c r="D1" s="6" t="str">
        <x:v>location_scope</x:v>
      </x:c>
      <x:c r="E1" s="6" t="str">
        <x:v>beneficiary_segment</x:v>
      </x:c>
      <x:c r="F1" s="6" t="str">
        <x:v>service_domain</x:v>
      </x:c>
      <x:c r="G1" s="6" t="str">
        <x:v>request_type</x:v>
      </x:c>
      <x:c r="H1" s="6" t="str">
        <x:v>sentiment</x:v>
      </x:c>
      <x:c r="I1" s="6" t="str">
        <x:v>topic_label</x:v>
      </x:c>
      <x:c r="J1" s="6" t="str">
        <x:v>urgency</x:v>
      </x:c>
      <x:c r="K1" s="6" t="str">
        <x:v>priority_score</x:v>
      </x:c>
      <x:c r="L1" s="6" t="str">
        <x:v>target_unit</x:v>
      </x:c>
      <x:c r="M1" s="6" t="str">
        <x:v>referred_entity_type</x:v>
      </x:c>
      <x:c r="N1" s="6" t="str">
        <x:v>recommended_action</x:v>
      </x:c>
      <x:c r="O1" s="6" t="str">
        <x:v>expected_ai_output</x:v>
      </x:c>
      <x:c r="P1" s="6" t="str">
        <x:v>is_synthetic</x:v>
      </x:c>
      <x:c r="Q1" s="6" t="str">
        <x:v>pii_removed</x:v>
      </x:c>
      <x:c r="R1" s="6" t="str">
        <x:v>split</x:v>
      </x:c>
    </x:row>
    <x:row r="2" ht="48" customHeight="1">
      <x:c r="A2" s="14" t="str">
        <x:v>NB-001</x:v>
      </x:c>
      <x:c r="B2" s="16" t="str">
        <x:v>قدمت طلبًا عبر المركز الشامل ولم تصلني رسالة توضح حالة المعاملة أو الجهة التي أحيلت لها.</x:v>
      </x:c>
      <x:c r="C2" s="16" t="str">
        <x:v>المركز الشامل</x:v>
      </x:c>
      <x:c r="D2" s="16" t="str">
        <x:v>عرعر</x:v>
      </x:c>
      <x:c r="E2" s="16" t="str">
        <x:v>مواطن</x:v>
      </x:c>
      <x:c r="F2" s="16" t="str">
        <x:v>متابعة المعاملات والطلبات لدى الإمارة</x:v>
      </x:c>
      <x:c r="G2" s="16" t="str">
        <x:v>شكوى</x:v>
      </x:c>
      <x:c r="H2" s="16" t="str">
        <x:v>سلبي</x:v>
      </x:c>
      <x:c r="I2" s="16" t="str">
        <x:v>عدم وضوح حالة المعاملة</x:v>
      </x:c>
      <x:c r="J2" s="16" t="str">
        <x:v>متوسط</x:v>
      </x:c>
      <x:c r="K2" s="14" t="n">
        <x:v>2</x:v>
      </x:c>
      <x:c r="L2" s="16" t="str">
        <x:v>إدارة المتابعة</x:v>
      </x:c>
      <x:c r="M2" s="16" t="str">
        <x:v>داخل الإمارة</x:v>
      </x:c>
      <x:c r="N2" s="16" t="str">
        <x:v>متابعة الطلب وإرسال إشعار حالة</x:v>
      </x:c>
      <x:c r="O2" s="16" t="str">
        <x:v>تصنيف الموضوع: عدم وضوح حالة المعاملة؛ المشاعر: سلبي؛ الأولوية: متوسط؛ الإجراء المقترح: متابعة الطلب وإرسال إشعار حالة</x:v>
      </x:c>
      <x:c r="P2" s="16" t="str">
        <x:v>نعم</x:v>
      </x:c>
      <x:c r="Q2" s="16" t="str">
        <x:v>نعم</x:v>
      </x:c>
      <x:c r="R2" s="16" t="str">
        <x:v>train</x:v>
      </x:c>
    </x:row>
    <x:row r="3" ht="48" customHeight="1">
      <x:c r="A3" s="14" t="str">
        <x:v>NB-002</x:v>
      </x:c>
      <x:c r="B3" s="16" t="str">
        <x:v>تم تحويل معاملتي لأكثر من جهة ولم أعرف أين وصلت، أحتاج رقم متابعة موحد يوضح آخر إجراء.</x:v>
      </x:c>
      <x:c r="C3" s="16" t="str">
        <x:v>بوابة الإمارة</x:v>
      </x:c>
      <x:c r="D3" s="16" t="str">
        <x:v>رفحاء</x:v>
      </x:c>
      <x:c r="E3" s="16" t="str">
        <x:v>مواطن</x:v>
      </x:c>
      <x:c r="F3" s="16" t="str">
        <x:v>متابعة المعاملات والطلبات لدى الإمارة</x:v>
      </x:c>
      <x:c r="G3" s="16" t="str">
        <x:v>شكوى</x:v>
      </x:c>
      <x:c r="H3" s="16" t="str">
        <x:v>سلبي</x:v>
      </x:c>
      <x:c r="I3" s="16" t="str">
        <x:v>تعدد الإحالات دون تتبع</x:v>
      </x:c>
      <x:c r="J3" s="16" t="str">
        <x:v>متوسط</x:v>
      </x:c>
      <x:c r="K3" s="14" t="n">
        <x:v>2</x:v>
      </x:c>
      <x:c r="L3" s="16" t="str">
        <x:v>إدارة المتابعة</x:v>
      </x:c>
      <x:c r="M3" s="16" t="str">
        <x:v>داخل الإمارة/جهة خارجية</x:v>
      </x:c>
      <x:c r="N3" s="16" t="str">
        <x:v>توحيد رقم المتابعة وربط الإحالات</x:v>
      </x:c>
      <x:c r="O3" s="16" t="str">
        <x:v>تصنيف الموضوع: تعدد الإحالات دون تتبع؛ المشاعر: سلبي؛ الأولوية: متوسط؛ الإجراء المقترح: توحيد رقم المتابعة وربط الإحالات</x:v>
      </x:c>
      <x:c r="P3" s="16" t="str">
        <x:v>نعم</x:v>
      </x:c>
      <x:c r="Q3" s="16" t="str">
        <x:v>نعم</x:v>
      </x:c>
      <x:c r="R3" s="16" t="str">
        <x:v>train</x:v>
      </x:c>
    </x:row>
    <x:row r="4" ht="48" customHeight="1">
      <x:c r="A4" s="14" t="str">
        <x:v>NB-003</x:v>
      </x:c>
      <x:c r="B4" s="16" t="str">
        <x:v>أرفقت جميع المستندات المطلوبة وما زال الطلب يظهر قيد المراجعة منذ فترة طويلة دون توضيح السبب.</x:v>
      </x:c>
      <x:c r="C4" s="16" t="str">
        <x:v>بوابة الإمارة</x:v>
      </x:c>
      <x:c r="D4" s="16" t="str">
        <x:v>طريف</x:v>
      </x:c>
      <x:c r="E4" s="16" t="str">
        <x:v>مقيم</x:v>
      </x:c>
      <x:c r="F4" s="16" t="str">
        <x:v>متابعة المعاملات والطلبات لدى الإمارة</x:v>
      </x:c>
      <x:c r="G4" s="16" t="str">
        <x:v>شكوى</x:v>
      </x:c>
      <x:c r="H4" s="16" t="str">
        <x:v>سلبي</x:v>
      </x:c>
      <x:c r="I4" s="16" t="str">
        <x:v>تأخر معالجة</x:v>
      </x:c>
      <x:c r="J4" s="16" t="str">
        <x:v>متوسط</x:v>
      </x:c>
      <x:c r="K4" s="14" t="n">
        <x:v>2</x:v>
      </x:c>
      <x:c r="L4" s="16" t="str">
        <x:v>المركز الشامل</x:v>
      </x:c>
      <x:c r="M4" s="16" t="str">
        <x:v>داخل الإمارة</x:v>
      </x:c>
      <x:c r="N4" s="16" t="str">
        <x:v>مراجعة حالة الطلب وتوضيح النقص إن وجد</x:v>
      </x:c>
      <x:c r="O4" s="16" t="str">
        <x:v>تصنيف الموضوع: تأخر معالجة؛ المشاعر: سلبي؛ الأولوية: متوسط؛ الإجراء المقترح: مراجعة حالة الطلب وتوضيح النقص إن وجد</x:v>
      </x:c>
      <x:c r="P4" s="16" t="str">
        <x:v>نعم</x:v>
      </x:c>
      <x:c r="Q4" s="16" t="str">
        <x:v>نعم</x:v>
      </x:c>
      <x:c r="R4" s="16" t="str">
        <x:v>train</x:v>
      </x:c>
    </x:row>
    <x:row r="5" ht="48" customHeight="1">
      <x:c r="A5" s="14" t="str">
        <x:v>NB-004</x:v>
      </x:c>
      <x:c r="B5" s="16" t="str">
        <x:v>وصلتني رسالة تفيد بنقص مستندات لكن لم يتم تحديد المستند الناقص أو طريقة رفعه.</x:v>
      </x:c>
      <x:c r="C5" s="16" t="str">
        <x:v>رسالة نصية</x:v>
      </x:c>
      <x:c r="D5" s="16" t="str">
        <x:v>عرعر</x:v>
      </x:c>
      <x:c r="E5" s="16" t="str">
        <x:v>مواطن</x:v>
      </x:c>
      <x:c r="F5" s="16" t="str">
        <x:v>متابعة المعاملات والطلبات لدى الإمارة</x:v>
      </x:c>
      <x:c r="G5" s="16" t="str">
        <x:v>شكوى</x:v>
      </x:c>
      <x:c r="H5" s="16" t="str">
        <x:v>سلبي</x:v>
      </x:c>
      <x:c r="I5" s="16" t="str">
        <x:v>نقص مستندات غير واضح</x:v>
      </x:c>
      <x:c r="J5" s="16" t="str">
        <x:v>متوسط</x:v>
      </x:c>
      <x:c r="K5" s="14" t="n">
        <x:v>2</x:v>
      </x:c>
      <x:c r="L5" s="16" t="str">
        <x:v>المركز الشامل</x:v>
      </x:c>
      <x:c r="M5" s="16" t="str">
        <x:v>داخل الإمارة</x:v>
      </x:c>
      <x:c r="N5" s="16" t="str">
        <x:v>تحديث قالب رسائل النواقص</x:v>
      </x:c>
      <x:c r="O5" s="16" t="str">
        <x:v>تصنيف الموضوع: نقص مستندات غير واضح؛ المشاعر: سلبي؛ الأولوية: متوسط؛ الإجراء المقترح: تحديث قالب رسائل النواقص</x:v>
      </x:c>
      <x:c r="P5" s="16" t="str">
        <x:v>نعم</x:v>
      </x:c>
      <x:c r="Q5" s="16" t="str">
        <x:v>نعم</x:v>
      </x:c>
      <x:c r="R5" s="16" t="str">
        <x:v>train</x:v>
      </x:c>
    </x:row>
    <x:row r="6" ht="48" customHeight="1">
      <x:c r="A6" s="14" t="str">
        <x:v>NB-005</x:v>
      </x:c>
      <x:c r="B6" s="16" t="str">
        <x:v>طلبت متابعة معاملة سابقة ولم أستلم رقمًا مرجعيًا يمكنني استخدامه عند المراجعة.</x:v>
      </x:c>
      <x:c r="C6" s="16" t="str">
        <x:v>اتصال هاتفي</x:v>
      </x:c>
      <x:c r="D6" s="16" t="str">
        <x:v>العويقيلة</x:v>
      </x:c>
      <x:c r="E6" s="16" t="str">
        <x:v>مواطن</x:v>
      </x:c>
      <x:c r="F6" s="16" t="str">
        <x:v>متابعة المعاملات والطلبات لدى الإمارة</x:v>
      </x:c>
      <x:c r="G6" s="16" t="str">
        <x:v>شكوى</x:v>
      </x:c>
      <x:c r="H6" s="16" t="str">
        <x:v>سلبي</x:v>
      </x:c>
      <x:c r="I6" s="16" t="str">
        <x:v>غياب الرقم المرجعي</x:v>
      </x:c>
      <x:c r="J6" s="16" t="str">
        <x:v>متوسط</x:v>
      </x:c>
      <x:c r="K6" s="14" t="n">
        <x:v>2</x:v>
      </x:c>
      <x:c r="L6" s="16" t="str">
        <x:v>إدارة تجربة المستفيد</x:v>
      </x:c>
      <x:c r="M6" s="16" t="str">
        <x:v>داخل الإمارة</x:v>
      </x:c>
      <x:c r="N6" s="16" t="str">
        <x:v>إصدار رقم مرجعي وإرساله للمستفيد</x:v>
      </x:c>
      <x:c r="O6" s="16" t="str">
        <x:v>تصنيف الموضوع: غياب الرقم المرجعي؛ المشاعر: سلبي؛ الأولوية: متوسط؛ الإجراء المقترح: إصدار رقم مرجعي وإرساله للمستفيد</x:v>
      </x:c>
      <x:c r="P6" s="16" t="str">
        <x:v>نعم</x:v>
      </x:c>
      <x:c r="Q6" s="16" t="str">
        <x:v>نعم</x:v>
      </x:c>
      <x:c r="R6" s="16" t="str">
        <x:v>train</x:v>
      </x:c>
    </x:row>
    <x:row r="7" ht="48" customHeight="1">
      <x:c r="A7" s="14" t="str">
        <x:v>NB-006</x:v>
      </x:c>
      <x:c r="B7" s="16" t="str">
        <x:v>راجعت الإمارة مرتين بسبب نفس الطلب، وفي كل مرة يطلب مني شرح الموضوع من جديد.</x:v>
      </x:c>
      <x:c r="C7" s="16" t="str">
        <x:v>زيارة مقر</x:v>
      </x:c>
      <x:c r="D7" s="16" t="str">
        <x:v>عرعر</x:v>
      </x:c>
      <x:c r="E7" s="16" t="str">
        <x:v>كبار السن</x:v>
      </x:c>
      <x:c r="F7" s="16" t="str">
        <x:v>متابعة المعاملات والطلبات لدى الإمارة</x:v>
      </x:c>
      <x:c r="G7" s="16" t="str">
        <x:v>شكوى</x:v>
      </x:c>
      <x:c r="H7" s="16" t="str">
        <x:v>سلبي</x:v>
      </x:c>
      <x:c r="I7" s="16" t="str">
        <x:v>تكرار شرح الطلب</x:v>
      </x:c>
      <x:c r="J7" s="16" t="str">
        <x:v>متوسط</x:v>
      </x:c>
      <x:c r="K7" s="14" t="n">
        <x:v>2</x:v>
      </x:c>
      <x:c r="L7" s="16" t="str">
        <x:v>إدارة المتابعة</x:v>
      </x:c>
      <x:c r="M7" s="16" t="str">
        <x:v>داخل الإمارة</x:v>
      </x:c>
      <x:c r="N7" s="16" t="str">
        <x:v>ربط سجل المستفيد بتاريخ الطلب</x:v>
      </x:c>
      <x:c r="O7" s="16" t="str">
        <x:v>تصنيف الموضوع: تكرار شرح الطلب؛ المشاعر: سلبي؛ الأولوية: متوسط؛ الإجراء المقترح: ربط سجل المستفيد بتاريخ الطلب</x:v>
      </x:c>
      <x:c r="P7" s="16" t="str">
        <x:v>نعم</x:v>
      </x:c>
      <x:c r="Q7" s="16" t="str">
        <x:v>نعم</x:v>
      </x:c>
      <x:c r="R7" s="16" t="str">
        <x:v>train</x:v>
      </x:c>
    </x:row>
    <x:row r="8" ht="48" customHeight="1">
      <x:c r="A8" s="14" t="str">
        <x:v>NB-007</x:v>
      </x:c>
      <x:c r="B8" s="16" t="str">
        <x:v>تم إغلاق طلبي في النظام دون توضيح نتيجة المعالجة أو سبب الإغلاق.</x:v>
      </x:c>
      <x:c r="C8" s="16" t="str">
        <x:v>بوابة الإمارة</x:v>
      </x:c>
      <x:c r="D8" s="16" t="str">
        <x:v>رفحاء</x:v>
      </x:c>
      <x:c r="E8" s="16" t="str">
        <x:v>مواطن</x:v>
      </x:c>
      <x:c r="F8" s="16" t="str">
        <x:v>متابعة المعاملات والطلبات لدى الإمارة</x:v>
      </x:c>
      <x:c r="G8" s="16" t="str">
        <x:v>شكوى</x:v>
      </x:c>
      <x:c r="H8" s="16" t="str">
        <x:v>سلبي</x:v>
      </x:c>
      <x:c r="I8" s="16" t="str">
        <x:v>إغلاق دون نتيجة واضحة</x:v>
      </x:c>
      <x:c r="J8" s="16" t="str">
        <x:v>متوسط</x:v>
      </x:c>
      <x:c r="K8" s="14" t="n">
        <x:v>2</x:v>
      </x:c>
      <x:c r="L8" s="16" t="str">
        <x:v>إدارة الجودة</x:v>
      </x:c>
      <x:c r="M8" s="16" t="str">
        <x:v>داخل الإمارة</x:v>
      </x:c>
      <x:c r="N8" s="16" t="str">
        <x:v>إعادة فتح الطلب أو توضيح سبب الإغلاق</x:v>
      </x:c>
      <x:c r="O8" s="16" t="str">
        <x:v>تصنيف الموضوع: إغلاق دون نتيجة واضحة؛ المشاعر: سلبي؛ الأولوية: متوسط؛ الإجراء المقترح: إعادة فتح الطلب أو توضيح سبب الإغلاق</x:v>
      </x:c>
      <x:c r="P8" s="16" t="str">
        <x:v>نعم</x:v>
      </x:c>
      <x:c r="Q8" s="16" t="str">
        <x:v>نعم</x:v>
      </x:c>
      <x:c r="R8" s="16" t="str">
        <x:v>train</x:v>
      </x:c>
    </x:row>
    <x:row r="9" ht="48" customHeight="1">
      <x:c r="A9" s="14" t="str">
        <x:v>NB-008</x:v>
      </x:c>
      <x:c r="B9" s="16" t="str">
        <x:v>أرغب بمعرفة هل معاملتي ما زالت لدى الإمارة أم تمت إحالتها للجهة المختصة.</x:v>
      </x:c>
      <x:c r="C9" s="16" t="str">
        <x:v>اتصال هاتفي</x:v>
      </x:c>
      <x:c r="D9" s="16" t="str">
        <x:v>طريف</x:v>
      </x:c>
      <x:c r="E9" s="16" t="str">
        <x:v>مواطن</x:v>
      </x:c>
      <x:c r="F9" s="16" t="str">
        <x:v>متابعة المعاملات والطلبات لدى الإمارة</x:v>
      </x:c>
      <x:c r="G9" s="16" t="str">
        <x:v>استفسار</x:v>
      </x:c>
      <x:c r="H9" s="16" t="str">
        <x:v>محايد</x:v>
      </x:c>
      <x:c r="I9" s="16" t="str">
        <x:v>استعلام عن مسار المعاملة</x:v>
      </x:c>
      <x:c r="J9" s="16" t="str">
        <x:v>منخفض</x:v>
      </x:c>
      <x:c r="K9" s="14" t="n">
        <x:v>1</x:v>
      </x:c>
      <x:c r="L9" s="16" t="str">
        <x:v>المركز الشامل</x:v>
      </x:c>
      <x:c r="M9" s="16" t="str">
        <x:v>داخل الإمارة/جهة خارجية</x:v>
      </x:c>
      <x:c r="N9" s="16" t="str">
        <x:v>إرسال حالة الإحالة للمستفيد</x:v>
      </x:c>
      <x:c r="O9" s="16" t="str">
        <x:v>تصنيف الموضوع: استعلام عن مسار المعاملة؛ المشاعر: محايد؛ الأولوية: منخفض؛ الإجراء المقترح: إرسال حالة الإحالة للمستفيد</x:v>
      </x:c>
      <x:c r="P9" s="16" t="str">
        <x:v>نعم</x:v>
      </x:c>
      <x:c r="Q9" s="16" t="str">
        <x:v>نعم</x:v>
      </x:c>
      <x:c r="R9" s="16" t="str">
        <x:v>train</x:v>
      </x:c>
    </x:row>
    <x:row r="10" ht="48" customHeight="1">
      <x:c r="A10" s="14" t="str">
        <x:v>NB-009</x:v>
      </x:c>
      <x:c r="B10" s="16" t="str">
        <x:v>توجد معاملة مرتبطة بطلب سابق، لكن النظام لا يربط بين الطلبين وهذا يسبب تكرار المراجعة.</x:v>
      </x:c>
      <x:c r="C10" s="16" t="str">
        <x:v>بوابة الإمارة</x:v>
      </x:c>
      <x:c r="D10" s="16" t="str">
        <x:v>عرعر</x:v>
      </x:c>
      <x:c r="E10" s="16" t="str">
        <x:v>مواطن</x:v>
      </x:c>
      <x:c r="F10" s="16" t="str">
        <x:v>متابعة المعاملات والطلبات لدى الإمارة</x:v>
      </x:c>
      <x:c r="G10" s="16" t="str">
        <x:v>شكوى</x:v>
      </x:c>
      <x:c r="H10" s="16" t="str">
        <x:v>سلبي</x:v>
      </x:c>
      <x:c r="I10" s="16" t="str">
        <x:v>عدم ربط الطلبات</x:v>
      </x:c>
      <x:c r="J10" s="16" t="str">
        <x:v>متوسط</x:v>
      </x:c>
      <x:c r="K10" s="14" t="n">
        <x:v>2</x:v>
      </x:c>
      <x:c r="L10" s="16" t="str">
        <x:v>إدارة تقنية المعلومات</x:v>
      </x:c>
      <x:c r="M10" s="16" t="str">
        <x:v>داخل الإمارة</x:v>
      </x:c>
      <x:c r="N10" s="16" t="str">
        <x:v>ربط الطلبات ذات العلاقة في سجل واحد</x:v>
      </x:c>
      <x:c r="O10" s="16" t="str">
        <x:v>تصنيف الموضوع: عدم ربط الطلبات؛ المشاعر: سلبي؛ الأولوية: متوسط؛ الإجراء المقترح: ربط الطلبات ذات العلاقة في سجل واحد</x:v>
      </x:c>
      <x:c r="P10" s="16" t="str">
        <x:v>نعم</x:v>
      </x:c>
      <x:c r="Q10" s="16" t="str">
        <x:v>نعم</x:v>
      </x:c>
      <x:c r="R10" s="16" t="str">
        <x:v>train</x:v>
      </x:c>
    </x:row>
    <x:row r="11" ht="48" customHeight="1">
      <x:c r="A11" s="14" t="str">
        <x:v>NB-010</x:v>
      </x:c>
      <x:c r="B11" s="16" t="str">
        <x:v>أحتاج تحديث بيانات التواصل المرتبطة بطلب قائم لكن لا توجد أيقونة واضحة للتعديل.</x:v>
      </x:c>
      <x:c r="C11" s="16" t="str">
        <x:v>بوابة الإمارة</x:v>
      </x:c>
      <x:c r="D11" s="16" t="str">
        <x:v>رفحاء</x:v>
      </x:c>
      <x:c r="E11" s="16" t="str">
        <x:v>مقيم</x:v>
      </x:c>
      <x:c r="F11" s="16" t="str">
        <x:v>متابعة المعاملات والطلبات لدى الإمارة</x:v>
      </x:c>
      <x:c r="G11" s="16" t="str">
        <x:v>استفسار</x:v>
      </x:c>
      <x:c r="H11" s="16" t="str">
        <x:v>محايد</x:v>
      </x:c>
      <x:c r="I11" s="16" t="str">
        <x:v>تحديث بيانات التواصل</x:v>
      </x:c>
      <x:c r="J11" s="16" t="str">
        <x:v>منخفض</x:v>
      </x:c>
      <x:c r="K11" s="14" t="n">
        <x:v>1</x:v>
      </x:c>
      <x:c r="L11" s="16" t="str">
        <x:v>إدارة تقنية المعلومات</x:v>
      </x:c>
      <x:c r="M11" s="16" t="str">
        <x:v>داخل الإمارة</x:v>
      </x:c>
      <x:c r="N11" s="16" t="str">
        <x:v>توضيح مسار تعديل بيانات التواصل</x:v>
      </x:c>
      <x:c r="O11" s="16" t="str">
        <x:v>تصنيف الموضوع: تحديث بيانات التواصل؛ المشاعر: محايد؛ الأولوية: منخفض؛ الإجراء المقترح: توضيح مسار تعديل بيانات التواصل</x:v>
      </x:c>
      <x:c r="P11" s="16" t="str">
        <x:v>نعم</x:v>
      </x:c>
      <x:c r="Q11" s="16" t="str">
        <x:v>نعم</x:v>
      </x:c>
      <x:c r="R11" s="16" t="str">
        <x:v>train</x:v>
      </x:c>
    </x:row>
    <x:row r="12" ht="48" customHeight="1">
      <x:c r="A12" s="14" t="str">
        <x:v>NB-011</x:v>
      </x:c>
      <x:c r="B12" s="16" t="str">
        <x:v>بعد رفع الطلب، لم تصلني نسخة من النموذج أو ملخص لما تم إرساله.</x:v>
      </x:c>
      <x:c r="C12" s="16" t="str">
        <x:v>بوابة الإمارة</x:v>
      </x:c>
      <x:c r="D12" s="16" t="str">
        <x:v>طريف</x:v>
      </x:c>
      <x:c r="E12" s="16" t="str">
        <x:v>مواطن</x:v>
      </x:c>
      <x:c r="F12" s="16" t="str">
        <x:v>متابعة المعاملات والطلبات لدى الإمارة</x:v>
      </x:c>
      <x:c r="G12" s="16" t="str">
        <x:v>شكوى</x:v>
      </x:c>
      <x:c r="H12" s="16" t="str">
        <x:v>سلبي</x:v>
      </x:c>
      <x:c r="I12" s="16" t="str">
        <x:v>غياب ملخص الطلب</x:v>
      </x:c>
      <x:c r="J12" s="16" t="str">
        <x:v>منخفض</x:v>
      </x:c>
      <x:c r="K12" s="14" t="n">
        <x:v>1</x:v>
      </x:c>
      <x:c r="L12" s="16" t="str">
        <x:v>إدارة تجربة المستفيد</x:v>
      </x:c>
      <x:c r="M12" s="16" t="str">
        <x:v>داخل الإمارة</x:v>
      </x:c>
      <x:c r="N12" s="16" t="str">
        <x:v>إرسال ملخص الطلب بعد التقديم</x:v>
      </x:c>
      <x:c r="O12" s="16" t="str">
        <x:v>تصنيف الموضوع: غياب ملخص الطلب؛ المشاعر: سلبي؛ الأولوية: منخفض؛ الإجراء المقترح: إرسال ملخص الطلب بعد التقديم</x:v>
      </x:c>
      <x:c r="P12" s="16" t="str">
        <x:v>نعم</x:v>
      </x:c>
      <x:c r="Q12" s="16" t="str">
        <x:v>نعم</x:v>
      </x:c>
      <x:c r="R12" s="16" t="str">
        <x:v>train</x:v>
      </x:c>
    </x:row>
    <x:row r="13" ht="48" customHeight="1">
      <x:c r="A13" s="14" t="str">
        <x:v>NB-012</x:v>
      </x:c>
      <x:c r="B13" s="16" t="str">
        <x:v>أرغب في معرفة المدة المتوقعة لمعالجة طلبي حتى لا أحتاج للمراجعة المتكررة.</x:v>
      </x:c>
      <x:c r="C13" s="16" t="str">
        <x:v>اتصال هاتفي</x:v>
      </x:c>
      <x:c r="D13" s="16" t="str">
        <x:v>العويقيلة</x:v>
      </x:c>
      <x:c r="E13" s="16" t="str">
        <x:v>مواطن</x:v>
      </x:c>
      <x:c r="F13" s="16" t="str">
        <x:v>متابعة المعاملات والطلبات لدى الإمارة</x:v>
      </x:c>
      <x:c r="G13" s="16" t="str">
        <x:v>استفسار</x:v>
      </x:c>
      <x:c r="H13" s="16" t="str">
        <x:v>محايد</x:v>
      </x:c>
      <x:c r="I13" s="16" t="str">
        <x:v>مدة المعالجة المتوقعة</x:v>
      </x:c>
      <x:c r="J13" s="16" t="str">
        <x:v>منخفض</x:v>
      </x:c>
      <x:c r="K13" s="14" t="n">
        <x:v>1</x:v>
      </x:c>
      <x:c r="L13" s="16" t="str">
        <x:v>المركز الشامل</x:v>
      </x:c>
      <x:c r="M13" s="16" t="str">
        <x:v>داخل الإمارة</x:v>
      </x:c>
      <x:c r="N13" s="16" t="str">
        <x:v>عرض SLA تقديري لكل نوع طلب</x:v>
      </x:c>
      <x:c r="O13" s="16" t="str">
        <x:v>تصنيف الموضوع: مدة المعالجة المتوقعة؛ المشاعر: محايد؛ الأولوية: منخفض؛ الإجراء المقترح: عرض SLA تقديري لكل نوع طلب</x:v>
      </x:c>
      <x:c r="P13" s="16" t="str">
        <x:v>نعم</x:v>
      </x:c>
      <x:c r="Q13" s="16" t="str">
        <x:v>نعم</x:v>
      </x:c>
      <x:c r="R13" s="16" t="str">
        <x:v>train</x:v>
      </x:c>
    </x:row>
    <x:row r="14" ht="48" customHeight="1">
      <x:c r="A14" s="14" t="str">
        <x:v>NB-013</x:v>
      </x:c>
      <x:c r="B14" s="16" t="str">
        <x:v>تم استلام طلبي من الموظف، لكن لم يتم تسجيله في النظام مباشرة ولم يصلني رقم متابعة.</x:v>
      </x:c>
      <x:c r="C14" s="16" t="str">
        <x:v>زيارة مقر</x:v>
      </x:c>
      <x:c r="D14" s="16" t="str">
        <x:v>عرعر</x:v>
      </x:c>
      <x:c r="E14" s="16" t="str">
        <x:v>مواطن</x:v>
      </x:c>
      <x:c r="F14" s="16" t="str">
        <x:v>متابعة المعاملات والطلبات لدى الإمارة</x:v>
      </x:c>
      <x:c r="G14" s="16" t="str">
        <x:v>شكوى</x:v>
      </x:c>
      <x:c r="H14" s="16" t="str">
        <x:v>سلبي</x:v>
      </x:c>
      <x:c r="I14" s="16" t="str">
        <x:v>تأخر تسجيل الطلب</x:v>
      </x:c>
      <x:c r="J14" s="16" t="str">
        <x:v>متوسط</x:v>
      </x:c>
      <x:c r="K14" s="14" t="n">
        <x:v>2</x:v>
      </x:c>
      <x:c r="L14" s="16" t="str">
        <x:v>المركز الشامل</x:v>
      </x:c>
      <x:c r="M14" s="16" t="str">
        <x:v>داخل الإمارة</x:v>
      </x:c>
      <x:c r="N14" s="16" t="str">
        <x:v>تسجيل الطلب لحظيًا عند الاستلام</x:v>
      </x:c>
      <x:c r="O14" s="16" t="str">
        <x:v>تصنيف الموضوع: تأخر تسجيل الطلب؛ المشاعر: سلبي؛ الأولوية: متوسط؛ الإجراء المقترح: تسجيل الطلب لحظيًا عند الاستلام</x:v>
      </x:c>
      <x:c r="P14" s="16" t="str">
        <x:v>نعم</x:v>
      </x:c>
      <x:c r="Q14" s="16" t="str">
        <x:v>نعم</x:v>
      </x:c>
      <x:c r="R14" s="16" t="str">
        <x:v>train</x:v>
      </x:c>
    </x:row>
    <x:row r="15" ht="48" customHeight="1">
      <x:c r="A15" s="14" t="str">
        <x:v>NB-014</x:v>
      </x:c>
      <x:c r="B15" s="16" t="str">
        <x:v>حالة الطلب تغيرت إلى مكتمل، لكن لم يتم توضيح القرار النهائي أو الخطوة التالية.</x:v>
      </x:c>
      <x:c r="C15" s="16" t="str">
        <x:v>بوابة الإمارة</x:v>
      </x:c>
      <x:c r="D15" s="16" t="str">
        <x:v>رفحاء</x:v>
      </x:c>
      <x:c r="E15" s="16" t="str">
        <x:v>قطاع خاص/مكتب خدمات</x:v>
      </x:c>
      <x:c r="F15" s="16" t="str">
        <x:v>متابعة المعاملات والطلبات لدى الإمارة</x:v>
      </x:c>
      <x:c r="G15" s="16" t="str">
        <x:v>شكوى</x:v>
      </x:c>
      <x:c r="H15" s="16" t="str">
        <x:v>سلبي</x:v>
      </x:c>
      <x:c r="I15" s="16" t="str">
        <x:v>نتيجة غير واضحة</x:v>
      </x:c>
      <x:c r="J15" s="16" t="str">
        <x:v>متوسط</x:v>
      </x:c>
      <x:c r="K15" s="14" t="n">
        <x:v>2</x:v>
      </x:c>
      <x:c r="L15" s="16" t="str">
        <x:v>إدارة المتابعة</x:v>
      </x:c>
      <x:c r="M15" s="16" t="str">
        <x:v>داخل الإمارة</x:v>
      </x:c>
      <x:c r="N15" s="16" t="str">
        <x:v>توضيح المخرج النهائي والخطوة التالية</x:v>
      </x:c>
      <x:c r="O15" s="16" t="str">
        <x:v>تصنيف الموضوع: نتيجة غير واضحة؛ المشاعر: سلبي؛ الأولوية: متوسط؛ الإجراء المقترح: توضيح المخرج النهائي والخطوة التالية</x:v>
      </x:c>
      <x:c r="P15" s="16" t="str">
        <x:v>نعم</x:v>
      </x:c>
      <x:c r="Q15" s="16" t="str">
        <x:v>نعم</x:v>
      </x:c>
      <x:c r="R15" s="16" t="str">
        <x:v>train</x:v>
      </x:c>
    </x:row>
    <x:row r="16" ht="48" customHeight="1">
      <x:c r="A16" s="14" t="str">
        <x:v>NB-015</x:v>
      </x:c>
      <x:c r="B16" s="16" t="str">
        <x:v>أحتاج إمكانية رفع مرفقات إضافية على نفس الطلب بدل إنشاء طلب جديد.</x:v>
      </x:c>
      <x:c r="C16" s="16" t="str">
        <x:v>بوابة الإمارة</x:v>
      </x:c>
      <x:c r="D16" s="16" t="str">
        <x:v>طريف</x:v>
      </x:c>
      <x:c r="E16" s="16" t="str">
        <x:v>مواطن</x:v>
      </x:c>
      <x:c r="F16" s="16" t="str">
        <x:v>متابعة المعاملات والطلبات لدى الإمارة</x:v>
      </x:c>
      <x:c r="G16" s="16" t="str">
        <x:v>اقتراح</x:v>
      </x:c>
      <x:c r="H16" s="16" t="str">
        <x:v>محايد</x:v>
      </x:c>
      <x:c r="I16" s="16" t="str">
        <x:v>إضافة مرفقات لاحقة</x:v>
      </x:c>
      <x:c r="J16" s="16" t="str">
        <x:v>منخفض</x:v>
      </x:c>
      <x:c r="K16" s="14" t="n">
        <x:v>1</x:v>
      </x:c>
      <x:c r="L16" s="16" t="str">
        <x:v>إدارة تقنية المعلومات</x:v>
      </x:c>
      <x:c r="M16" s="16" t="str">
        <x:v>داخل الإمارة</x:v>
      </x:c>
      <x:c r="N16" s="16" t="str">
        <x:v>إتاحة رفع مرفقات على الطلب القائم</x:v>
      </x:c>
      <x:c r="O16" s="16" t="str">
        <x:v>تصنيف الموضوع: إضافة مرفقات لاحقة؛ المشاعر: محايد؛ الأولوية: منخفض؛ الإجراء المقترح: إتاحة رفع مرفقات على الطلب القائم</x:v>
      </x:c>
      <x:c r="P16" s="16" t="str">
        <x:v>نعم</x:v>
      </x:c>
      <x:c r="Q16" s="16" t="str">
        <x:v>نعم</x:v>
      </x:c>
      <x:c r="R16" s="16" t="str">
        <x:v>train</x:v>
      </x:c>
    </x:row>
    <x:row r="17" ht="48" customHeight="1">
      <x:c r="A17" s="14" t="str">
        <x:v>NB-016</x:v>
      </x:c>
      <x:c r="B17" s="16" t="str">
        <x:v>تأخرت الإفادة عن معاملة عاجلة مرتبطة بظرف أسري، وأحتاج تصعيدها للإدارة المختصة.</x:v>
      </x:c>
      <x:c r="C17" s="16" t="str">
        <x:v>المركز الشامل</x:v>
      </x:c>
      <x:c r="D17" s="16" t="str">
        <x:v>عرعر</x:v>
      </x:c>
      <x:c r="E17" s="16" t="str">
        <x:v>مواطن</x:v>
      </x:c>
      <x:c r="F17" s="16" t="str">
        <x:v>متابعة المعاملات والطلبات لدى الإمارة</x:v>
      </x:c>
      <x:c r="G17" s="16" t="str">
        <x:v>شكوى</x:v>
      </x:c>
      <x:c r="H17" s="16" t="str">
        <x:v>سلبي</x:v>
      </x:c>
      <x:c r="I17" s="16" t="str">
        <x:v>طلب تصعيد</x:v>
      </x:c>
      <x:c r="J17" s="16" t="str">
        <x:v>عالي</x:v>
      </x:c>
      <x:c r="K17" s="14" t="n">
        <x:v>3</x:v>
      </x:c>
      <x:c r="L17" s="16" t="str">
        <x:v>إدارة المتابعة</x:v>
      </x:c>
      <x:c r="M17" s="16" t="str">
        <x:v>داخل الإمارة</x:v>
      </x:c>
      <x:c r="N17" s="16" t="str">
        <x:v>تصعيد الطلب وفق مسار عاجل</x:v>
      </x:c>
      <x:c r="O17" s="16" t="str">
        <x:v>تصنيف الموضوع: طلب تصعيد؛ المشاعر: سلبي؛ الأولوية: عالي؛ الإجراء المقترح: تصعيد الطلب وفق مسار عاجل</x:v>
      </x:c>
      <x:c r="P17" s="16" t="str">
        <x:v>نعم</x:v>
      </x:c>
      <x:c r="Q17" s="16" t="str">
        <x:v>نعم</x:v>
      </x:c>
      <x:c r="R17" s="16" t="str">
        <x:v>train</x:v>
      </x:c>
    </x:row>
    <x:row r="18" ht="48" customHeight="1">
      <x:c r="A18" s="14" t="str">
        <x:v>NB-017</x:v>
      </x:c>
      <x:c r="B18" s="16" t="str">
        <x:v>لم تصلني إفادة بعد استكمال النواقص رغم رفعها قبل عدة أيام.</x:v>
      </x:c>
      <x:c r="C18" s="16" t="str">
        <x:v>بوابة الإمارة</x:v>
      </x:c>
      <x:c r="D18" s="16" t="str">
        <x:v>رفحاء</x:v>
      </x:c>
      <x:c r="E18" s="16" t="str">
        <x:v>مواطن</x:v>
      </x:c>
      <x:c r="F18" s="16" t="str">
        <x:v>متابعة المعاملات والطلبات لدى الإمارة</x:v>
      </x:c>
      <x:c r="G18" s="16" t="str">
        <x:v>شكوى</x:v>
      </x:c>
      <x:c r="H18" s="16" t="str">
        <x:v>سلبي</x:v>
      </x:c>
      <x:c r="I18" s="16" t="str">
        <x:v>تأخر بعد استكمال النواقص</x:v>
      </x:c>
      <x:c r="J18" s="16" t="str">
        <x:v>متوسط</x:v>
      </x:c>
      <x:c r="K18" s="14" t="n">
        <x:v>2</x:v>
      </x:c>
      <x:c r="L18" s="16" t="str">
        <x:v>المركز الشامل</x:v>
      </x:c>
      <x:c r="M18" s="16" t="str">
        <x:v>داخل الإمارة</x:v>
      </x:c>
      <x:c r="N18" s="16" t="str">
        <x:v>التحقق من استلام النواقص وتحديث الحالة</x:v>
      </x:c>
      <x:c r="O18" s="16" t="str">
        <x:v>تصنيف الموضوع: تأخر بعد استكمال النواقص؛ المشاعر: سلبي؛ الأولوية: متوسط؛ الإجراء المقترح: التحقق من استلام النواقص وتحديث الحالة</x:v>
      </x:c>
      <x:c r="P18" s="16" t="str">
        <x:v>نعم</x:v>
      </x:c>
      <x:c r="Q18" s="16" t="str">
        <x:v>نعم</x:v>
      </x:c>
      <x:c r="R18" s="16" t="str">
        <x:v>train</x:v>
      </x:c>
    </x:row>
    <x:row r="19" ht="48" customHeight="1">
      <x:c r="A19" s="14" t="str">
        <x:v>NB-018</x:v>
      </x:c>
      <x:c r="B19" s="16" t="str">
        <x:v>أرغب في استلام تنبيه عند انتقال الطلب من مرحلة لأخرى بدل الدخول اليومي للمنصة.</x:v>
      </x:c>
      <x:c r="C19" s="16" t="str">
        <x:v>بوابة الإمارة</x:v>
      </x:c>
      <x:c r="D19" s="16" t="str">
        <x:v>العويقيلة</x:v>
      </x:c>
      <x:c r="E19" s="16" t="str">
        <x:v>مواطن</x:v>
      </x:c>
      <x:c r="F19" s="16" t="str">
        <x:v>متابعة المعاملات والطلبات لدى الإمارة</x:v>
      </x:c>
      <x:c r="G19" s="16" t="str">
        <x:v>اقتراح</x:v>
      </x:c>
      <x:c r="H19" s="16" t="str">
        <x:v>محايد</x:v>
      </x:c>
      <x:c r="I19" s="16" t="str">
        <x:v>إشعارات مراحل الطلب</x:v>
      </x:c>
      <x:c r="J19" s="16" t="str">
        <x:v>منخفض</x:v>
      </x:c>
      <x:c r="K19" s="14" t="n">
        <x:v>1</x:v>
      </x:c>
      <x:c r="L19" s="16" t="str">
        <x:v>إدارة تجربة المستفيد</x:v>
      </x:c>
      <x:c r="M19" s="16" t="str">
        <x:v>داخل الإمارة</x:v>
      </x:c>
      <x:c r="N19" s="16" t="str">
        <x:v>تفعيل تنبيهات الحالة المرحلية</x:v>
      </x:c>
      <x:c r="O19" s="16" t="str">
        <x:v>تصنيف الموضوع: إشعارات مراحل الطلب؛ المشاعر: محايد؛ الأولوية: منخفض؛ الإجراء المقترح: تفعيل تنبيهات الحالة المرحلية</x:v>
      </x:c>
      <x:c r="P19" s="16" t="str">
        <x:v>نعم</x:v>
      </x:c>
      <x:c r="Q19" s="16" t="str">
        <x:v>نعم</x:v>
      </x:c>
      <x:c r="R19" s="16" t="str">
        <x:v>train</x:v>
      </x:c>
    </x:row>
    <x:row r="20" ht="48" customHeight="1">
      <x:c r="A20" s="14" t="str">
        <x:v>NB-019</x:v>
      </x:c>
      <x:c r="B20" s="16" t="str">
        <x:v>راجعت المركز الشامل في عرعر، وتمت خدمتي بسرعة ووضوح في المتطلبات.</x:v>
      </x:c>
      <x:c r="C20" s="16" t="str">
        <x:v>زيارة مقر</x:v>
      </x:c>
      <x:c r="D20" s="16" t="str">
        <x:v>عرعر</x:v>
      </x:c>
      <x:c r="E20" s="16" t="str">
        <x:v>مواطن</x:v>
      </x:c>
      <x:c r="F20" s="16" t="str">
        <x:v>المركز الشامل وخدمات الجمهور</x:v>
      </x:c>
      <x:c r="G20" s="16" t="str">
        <x:v>شكر</x:v>
      </x:c>
      <x:c r="H20" s="16" t="str">
        <x:v>إيجابي</x:v>
      </x:c>
      <x:c r="I20" s="16" t="str">
        <x:v>سرعة الخدمة</x:v>
      </x:c>
      <x:c r="J20" s="16" t="str">
        <x:v>منخفض</x:v>
      </x:c>
      <x:c r="K20" s="14" t="n">
        <x:v>1</x:v>
      </x:c>
      <x:c r="L20" s="16" t="str">
        <x:v>المركز الشامل</x:v>
      </x:c>
      <x:c r="M20" s="16" t="str">
        <x:v>داخل الإمارة</x:v>
      </x:c>
      <x:c r="N20" s="16" t="str">
        <x:v>توثيق حالة رضا</x:v>
      </x:c>
      <x:c r="O20" s="16" t="str">
        <x:v>تصنيف الموضوع: سرعة الخدمة؛ المشاعر: إيجابي؛ الأولوية: منخفض؛ الإجراء المقترح: توثيق حالة رضا</x:v>
      </x:c>
      <x:c r="P20" s="16" t="str">
        <x:v>نعم</x:v>
      </x:c>
      <x:c r="Q20" s="16" t="str">
        <x:v>نعم</x:v>
      </x:c>
      <x:c r="R20" s="16" t="str">
        <x:v>train</x:v>
      </x:c>
    </x:row>
    <x:row r="21" ht="48" customHeight="1">
      <x:c r="A21" s="14" t="str">
        <x:v>NB-020</x:v>
      </x:c>
      <x:c r="B21" s="16" t="str">
        <x:v>مدة الانتظار في المركز طويلة، ولا توجد شاشة توضح رقم الدور أو الوقت المتوقع.</x:v>
      </x:c>
      <x:c r="C21" s="16" t="str">
        <x:v>زيارة مقر</x:v>
      </x:c>
      <x:c r="D21" s="16" t="str">
        <x:v>عرعر</x:v>
      </x:c>
      <x:c r="E21" s="16" t="str">
        <x:v>مواطن</x:v>
      </x:c>
      <x:c r="F21" s="16" t="str">
        <x:v>المركز الشامل وخدمات الجمهور</x:v>
      </x:c>
      <x:c r="G21" s="16" t="str">
        <x:v>شكوى</x:v>
      </x:c>
      <x:c r="H21" s="16" t="str">
        <x:v>سلبي</x:v>
      </x:c>
      <x:c r="I21" s="16" t="str">
        <x:v>زمن الانتظار</x:v>
      </x:c>
      <x:c r="J21" s="16" t="str">
        <x:v>متوسط</x:v>
      </x:c>
      <x:c r="K21" s="14" t="n">
        <x:v>2</x:v>
      </x:c>
      <x:c r="L21" s="16" t="str">
        <x:v>المركز الشامل</x:v>
      </x:c>
      <x:c r="M21" s="16" t="str">
        <x:v>داخل الإمارة</x:v>
      </x:c>
      <x:c r="N21" s="16" t="str">
        <x:v>تحسين إدارة الطوابير وعرض الوقت المتوقع</x:v>
      </x:c>
      <x:c r="O21" s="16" t="str">
        <x:v>تصنيف الموضوع: زمن الانتظار؛ المشاعر: سلبي؛ الأولوية: متوسط؛ الإجراء المقترح: تحسين إدارة الطوابير وعرض الوقت المتوقع</x:v>
      </x:c>
      <x:c r="P21" s="16" t="str">
        <x:v>نعم</x:v>
      </x:c>
      <x:c r="Q21" s="16" t="str">
        <x:v>نعم</x:v>
      </x:c>
      <x:c r="R21" s="16" t="str">
        <x:v>train</x:v>
      </x:c>
    </x:row>
    <x:row r="22" ht="48" customHeight="1">
      <x:c r="A22" s="14" t="str">
        <x:v>NB-021</x:v>
      </x:c>
      <x:c r="B22" s="16" t="str">
        <x:v>تعامل موظف الاستقبال كان ممتازًا، لكن الإجراءات غير واضحة قبل الوصول للكاونتر.</x:v>
      </x:c>
      <x:c r="C22" s="16" t="str">
        <x:v>زيارة مقر</x:v>
      </x:c>
      <x:c r="D22" s="16" t="str">
        <x:v>رفحاء</x:v>
      </x:c>
      <x:c r="E22" s="16" t="str">
        <x:v>مواطن</x:v>
      </x:c>
      <x:c r="F22" s="16" t="str">
        <x:v>المركز الشامل وخدمات الجمهور</x:v>
      </x:c>
      <x:c r="G22" s="16" t="str">
        <x:v>ملاحظة</x:v>
      </x:c>
      <x:c r="H22" s="16" t="str">
        <x:v>مختلط</x:v>
      </x:c>
      <x:c r="I22" s="16" t="str">
        <x:v>وضوح الإجراءات داخل المركز</x:v>
      </x:c>
      <x:c r="J22" s="16" t="str">
        <x:v>منخفض</x:v>
      </x:c>
      <x:c r="K22" s="14" t="n">
        <x:v>1</x:v>
      </x:c>
      <x:c r="L22" s="16" t="str">
        <x:v>إدارة تجربة المستفيد</x:v>
      </x:c>
      <x:c r="M22" s="16" t="str">
        <x:v>داخل الإمارة</x:v>
      </x:c>
      <x:c r="N22" s="16" t="str">
        <x:v>إضافة لوحات إرشادية وقائمة متطلبات</x:v>
      </x:c>
      <x:c r="O22" s="16" t="str">
        <x:v>تصنيف الموضوع: وضوح الإجراءات داخل المركز؛ المشاعر: مختلط؛ الأولوية: منخفض؛ الإجراء المقترح: إضافة لوحات إرشادية وقائمة متطلبات</x:v>
      </x:c>
      <x:c r="P22" s="16" t="str">
        <x:v>نعم</x:v>
      </x:c>
      <x:c r="Q22" s="16" t="str">
        <x:v>نعم</x:v>
      </x:c>
      <x:c r="R22" s="16" t="str">
        <x:v>train</x:v>
      </x:c>
    </x:row>
    <x:row r="23" ht="48" customHeight="1">
      <x:c r="A23" s="14" t="str">
        <x:v>NB-022</x:v>
      </x:c>
      <x:c r="B23" s="16" t="str">
        <x:v>أحتاج مسارًا أسرع لكبار السن وذوي الإعاقة في المركز الشامل.</x:v>
      </x:c>
      <x:c r="C23" s="16" t="str">
        <x:v>زيارة مقر</x:v>
      </x:c>
      <x:c r="D23" s="16" t="str">
        <x:v>عرعر</x:v>
      </x:c>
      <x:c r="E23" s="16" t="str">
        <x:v>كبار السن</x:v>
      </x:c>
      <x:c r="F23" s="16" t="str">
        <x:v>المركز الشامل وخدمات الجمهور</x:v>
      </x:c>
      <x:c r="G23" s="16" t="str">
        <x:v>اقتراح</x:v>
      </x:c>
      <x:c r="H23" s="16" t="str">
        <x:v>محايد</x:v>
      </x:c>
      <x:c r="I23" s="16" t="str">
        <x:v>مسار أولوية</x:v>
      </x:c>
      <x:c r="J23" s="16" t="str">
        <x:v>متوسط</x:v>
      </x:c>
      <x:c r="K23" s="14" t="n">
        <x:v>2</x:v>
      </x:c>
      <x:c r="L23" s="16" t="str">
        <x:v>المركز الشامل</x:v>
      </x:c>
      <x:c r="M23" s="16" t="str">
        <x:v>داخل الإمارة</x:v>
      </x:c>
      <x:c r="N23" s="16" t="str">
        <x:v>تفعيل مسار خدمة أولوية</x:v>
      </x:c>
      <x:c r="O23" s="16" t="str">
        <x:v>تصنيف الموضوع: مسار أولوية؛ المشاعر: محايد؛ الأولوية: متوسط؛ الإجراء المقترح: تفعيل مسار خدمة أولوية</x:v>
      </x:c>
      <x:c r="P23" s="16" t="str">
        <x:v>نعم</x:v>
      </x:c>
      <x:c r="Q23" s="16" t="str">
        <x:v>نعم</x:v>
      </x:c>
      <x:c r="R23" s="16" t="str">
        <x:v>train</x:v>
      </x:c>
    </x:row>
    <x:row r="24" ht="48" customHeight="1">
      <x:c r="A24" s="14" t="str">
        <x:v>NB-023</x:v>
      </x:c>
      <x:c r="B24" s="16" t="str">
        <x:v>لا توجد منطقة انتظار كافية عند الازدحام في أوقات الذروة.</x:v>
      </x:c>
      <x:c r="C24" s="16" t="str">
        <x:v>زيارة مقر</x:v>
      </x:c>
      <x:c r="D24" s="16" t="str">
        <x:v>طريف</x:v>
      </x:c>
      <x:c r="E24" s="16" t="str">
        <x:v>مواطن</x:v>
      </x:c>
      <x:c r="F24" s="16" t="str">
        <x:v>المركز الشامل وخدمات الجمهور</x:v>
      </x:c>
      <x:c r="G24" s="16" t="str">
        <x:v>شكوى</x:v>
      </x:c>
      <x:c r="H24" s="16" t="str">
        <x:v>سلبي</x:v>
      </x:c>
      <x:c r="I24" s="16" t="str">
        <x:v>تجهيزات الانتظار</x:v>
      </x:c>
      <x:c r="J24" s="16" t="str">
        <x:v>منخفض</x:v>
      </x:c>
      <x:c r="K24" s="14" t="n">
        <x:v>1</x:v>
      </x:c>
      <x:c r="L24" s="16" t="str">
        <x:v>المركز الشامل</x:v>
      </x:c>
      <x:c r="M24" s="16" t="str">
        <x:v>داخل الإمارة</x:v>
      </x:c>
      <x:c r="N24" s="16" t="str">
        <x:v>دراسة تحسين منطقة الانتظار</x:v>
      </x:c>
      <x:c r="O24" s="16" t="str">
        <x:v>تصنيف الموضوع: تجهيزات الانتظار؛ المشاعر: سلبي؛ الأولوية: منخفض؛ الإجراء المقترح: دراسة تحسين منطقة الانتظار</x:v>
      </x:c>
      <x:c r="P24" s="16" t="str">
        <x:v>نعم</x:v>
      </x:c>
      <x:c r="Q24" s="16" t="str">
        <x:v>نعم</x:v>
      </x:c>
      <x:c r="R24" s="16" t="str">
        <x:v>train</x:v>
      </x:c>
    </x:row>
    <x:row r="25" ht="48" customHeight="1">
      <x:c r="A25" s="14" t="str">
        <x:v>NB-024</x:v>
      </x:c>
      <x:c r="B25" s="16" t="str">
        <x:v>تم توجيهي للإدارة الصحيحة من أول مرة، وهذا اختصر وقت المراجعة.</x:v>
      </x:c>
      <x:c r="C25" s="16" t="str">
        <x:v>زيارة مقر</x:v>
      </x:c>
      <x:c r="D25" s="16" t="str">
        <x:v>العويقيلة</x:v>
      </x:c>
      <x:c r="E25" s="16" t="str">
        <x:v>مواطن</x:v>
      </x:c>
      <x:c r="F25" s="16" t="str">
        <x:v>المركز الشامل وخدمات الجمهور</x:v>
      </x:c>
      <x:c r="G25" s="16" t="str">
        <x:v>شكر</x:v>
      </x:c>
      <x:c r="H25" s="16" t="str">
        <x:v>إيجابي</x:v>
      </x:c>
      <x:c r="I25" s="16" t="str">
        <x:v>جودة التوجيه</x:v>
      </x:c>
      <x:c r="J25" s="16" t="str">
        <x:v>منخفض</x:v>
      </x:c>
      <x:c r="K25" s="14" t="n">
        <x:v>1</x:v>
      </x:c>
      <x:c r="L25" s="16" t="str">
        <x:v>المركز الشامل</x:v>
      </x:c>
      <x:c r="M25" s="16" t="str">
        <x:v>داخل الإمارة</x:v>
      </x:c>
      <x:c r="N25" s="16" t="str">
        <x:v>توثيق ممارسة ناجحة</x:v>
      </x:c>
      <x:c r="O25" s="16" t="str">
        <x:v>تصنيف الموضوع: جودة التوجيه؛ المشاعر: إيجابي؛ الأولوية: منخفض؛ الإجراء المقترح: توثيق ممارسة ناجحة</x:v>
      </x:c>
      <x:c r="P25" s="16" t="str">
        <x:v>نعم</x:v>
      </x:c>
      <x:c r="Q25" s="16" t="str">
        <x:v>نعم</x:v>
      </x:c>
      <x:c r="R25" s="16" t="str">
        <x:v>train</x:v>
      </x:c>
    </x:row>
    <x:row r="26" ht="48" customHeight="1">
      <x:c r="A26" s="14" t="str">
        <x:v>NB-025</x:v>
      </x:c>
      <x:c r="B26" s="16" t="str">
        <x:v>الطلبات الورقية ما زالت تستخدم في بعض الحالات، ونحتاج توضيح الحالات التي تتطلب ورقًا.</x:v>
      </x:c>
      <x:c r="C26" s="16" t="str">
        <x:v>زيارة مقر</x:v>
      </x:c>
      <x:c r="D26" s="16" t="str">
        <x:v>عرعر</x:v>
      </x:c>
      <x:c r="E26" s="16" t="str">
        <x:v>قطاع خاص/مكتب خدمات</x:v>
      </x:c>
      <x:c r="F26" s="16" t="str">
        <x:v>المركز الشامل وخدمات الجمهور</x:v>
      </x:c>
      <x:c r="G26" s="16" t="str">
        <x:v>ملاحظة</x:v>
      </x:c>
      <x:c r="H26" s="16" t="str">
        <x:v>محايد</x:v>
      </x:c>
      <x:c r="I26" s="16" t="str">
        <x:v>استخدام النماذج الورقية</x:v>
      </x:c>
      <x:c r="J26" s="16" t="str">
        <x:v>منخفض</x:v>
      </x:c>
      <x:c r="K26" s="14" t="n">
        <x:v>1</x:v>
      </x:c>
      <x:c r="L26" s="16" t="str">
        <x:v>المركز الشامل</x:v>
      </x:c>
      <x:c r="M26" s="16" t="str">
        <x:v>داخل الإمارة</x:v>
      </x:c>
      <x:c r="N26" s="16" t="str">
        <x:v>نشر قائمة الحالات الورقية</x:v>
      </x:c>
      <x:c r="O26" s="16" t="str">
        <x:v>تصنيف الموضوع: استخدام النماذج الورقية؛ المشاعر: محايد؛ الأولوية: منخفض؛ الإجراء المقترح: نشر قائمة الحالات الورقية</x:v>
      </x:c>
      <x:c r="P26" s="16" t="str">
        <x:v>نعم</x:v>
      </x:c>
      <x:c r="Q26" s="16" t="str">
        <x:v>نعم</x:v>
      </x:c>
      <x:c r="R26" s="16" t="str">
        <x:v>train</x:v>
      </x:c>
    </x:row>
    <x:row r="27" ht="48" customHeight="1">
      <x:c r="A27" s="14" t="str">
        <x:v>NB-026</x:v>
      </x:c>
      <x:c r="B27" s="16" t="str">
        <x:v>عند الاتصال بالمركز لا يتم الرد أحيانًا، ولا توجد رسالة توضح أوقات العمل.</x:v>
      </x:c>
      <x:c r="C27" s="16" t="str">
        <x:v>اتصال هاتفي</x:v>
      </x:c>
      <x:c r="D27" s="16" t="str">
        <x:v>رفحاء</x:v>
      </x:c>
      <x:c r="E27" s="16" t="str">
        <x:v>مواطن</x:v>
      </x:c>
      <x:c r="F27" s="16" t="str">
        <x:v>المركز الشامل وخدمات الجمهور</x:v>
      </x:c>
      <x:c r="G27" s="16" t="str">
        <x:v>شكوى</x:v>
      </x:c>
      <x:c r="H27" s="16" t="str">
        <x:v>سلبي</x:v>
      </x:c>
      <x:c r="I27" s="16" t="str">
        <x:v>قناة الاتصال</x:v>
      </x:c>
      <x:c r="J27" s="16" t="str">
        <x:v>متوسط</x:v>
      </x:c>
      <x:c r="K27" s="14" t="n">
        <x:v>2</x:v>
      </x:c>
      <x:c r="L27" s="16" t="str">
        <x:v>إدارة تجربة المستفيد</x:v>
      </x:c>
      <x:c r="M27" s="16" t="str">
        <x:v>داخل الإمارة</x:v>
      </x:c>
      <x:c r="N27" s="16" t="str">
        <x:v>تحسين الرد الآلي وأوقات الخدمة</x:v>
      </x:c>
      <x:c r="O27" s="16" t="str">
        <x:v>تصنيف الموضوع: قناة الاتصال؛ المشاعر: سلبي؛ الأولوية: متوسط؛ الإجراء المقترح: تحسين الرد الآلي وأوقات الخدمة</x:v>
      </x:c>
      <x:c r="P27" s="16" t="str">
        <x:v>نعم</x:v>
      </x:c>
      <x:c r="Q27" s="16" t="str">
        <x:v>نعم</x:v>
      </x:c>
      <x:c r="R27" s="16" t="str">
        <x:v>train</x:v>
      </x:c>
    </x:row>
    <x:row r="28" ht="48" customHeight="1">
      <x:c r="A28" s="14" t="str">
        <x:v>NB-027</x:v>
      </x:c>
      <x:c r="B28" s="16" t="str">
        <x:v>أرسلت استفسارًا عبر البريد ولم يصلني رد خلال المدة المتوقعة.</x:v>
      </x:c>
      <x:c r="C28" s="16" t="str">
        <x:v>البريد الإلكتروني</x:v>
      </x:c>
      <x:c r="D28" s="16" t="str">
        <x:v>طريف</x:v>
      </x:c>
      <x:c r="E28" s="16" t="str">
        <x:v>مواطن</x:v>
      </x:c>
      <x:c r="F28" s="16" t="str">
        <x:v>المركز الشامل وخدمات الجمهور</x:v>
      </x:c>
      <x:c r="G28" s="16" t="str">
        <x:v>شكوى</x:v>
      </x:c>
      <x:c r="H28" s="16" t="str">
        <x:v>سلبي</x:v>
      </x:c>
      <x:c r="I28" s="16" t="str">
        <x:v>تأخر الرد على البريد</x:v>
      </x:c>
      <x:c r="J28" s="16" t="str">
        <x:v>متوسط</x:v>
      </x:c>
      <x:c r="K28" s="14" t="n">
        <x:v>2</x:v>
      </x:c>
      <x:c r="L28" s="16" t="str">
        <x:v>إدارة تجربة المستفيد</x:v>
      </x:c>
      <x:c r="M28" s="16" t="str">
        <x:v>داخل الإمارة</x:v>
      </x:c>
      <x:c r="N28" s="16" t="str">
        <x:v>متابعة صندوق البريد وتحديد SLA</x:v>
      </x:c>
      <x:c r="O28" s="16" t="str">
        <x:v>تصنيف الموضوع: تأخر الرد على البريد؛ المشاعر: سلبي؛ الأولوية: متوسط؛ الإجراء المقترح: متابعة صندوق البريد وتحديد SLA</x:v>
      </x:c>
      <x:c r="P28" s="16" t="str">
        <x:v>نعم</x:v>
      </x:c>
      <x:c r="Q28" s="16" t="str">
        <x:v>نعم</x:v>
      </x:c>
      <x:c r="R28" s="16" t="str">
        <x:v>train</x:v>
      </x:c>
    </x:row>
    <x:row r="29" ht="48" customHeight="1">
      <x:c r="A29" s="14" t="str">
        <x:v>NB-028</x:v>
      </x:c>
      <x:c r="B29" s="16" t="str">
        <x:v>الموظف شرح لي النواقص بشكل واضح وساعدني في رفعها على البوابة.</x:v>
      </x:c>
      <x:c r="C29" s="16" t="str">
        <x:v>زيارة مقر</x:v>
      </x:c>
      <x:c r="D29" s="16" t="str">
        <x:v>عرعر</x:v>
      </x:c>
      <x:c r="E29" s="16" t="str">
        <x:v>مقيم</x:v>
      </x:c>
      <x:c r="F29" s="16" t="str">
        <x:v>المركز الشامل وخدمات الجمهور</x:v>
      </x:c>
      <x:c r="G29" s="16" t="str">
        <x:v>شكر</x:v>
      </x:c>
      <x:c r="H29" s="16" t="str">
        <x:v>إيجابي</x:v>
      </x:c>
      <x:c r="I29" s="16" t="str">
        <x:v>دعم المستفيد</x:v>
      </x:c>
      <x:c r="J29" s="16" t="str">
        <x:v>منخفض</x:v>
      </x:c>
      <x:c r="K29" s="14" t="n">
        <x:v>1</x:v>
      </x:c>
      <x:c r="L29" s="16" t="str">
        <x:v>المركز الشامل</x:v>
      </x:c>
      <x:c r="M29" s="16" t="str">
        <x:v>داخل الإمارة</x:v>
      </x:c>
      <x:c r="N29" s="16" t="str">
        <x:v>توثيق رضا المستفيد</x:v>
      </x:c>
      <x:c r="O29" s="16" t="str">
        <x:v>تصنيف الموضوع: دعم المستفيد؛ المشاعر: إيجابي؛ الأولوية: منخفض؛ الإجراء المقترح: توثيق رضا المستفيد</x:v>
      </x:c>
      <x:c r="P29" s="16" t="str">
        <x:v>نعم</x:v>
      </x:c>
      <x:c r="Q29" s="16" t="str">
        <x:v>نعم</x:v>
      </x:c>
      <x:c r="R29" s="16" t="str">
        <x:v>train</x:v>
      </x:c>
    </x:row>
    <x:row r="30" ht="48" customHeight="1">
      <x:c r="A30" s="14" t="str">
        <x:v>NB-029</x:v>
      </x:c>
      <x:c r="B30" s="16" t="str">
        <x:v>توجد حاجة لتوحيد ردود الموظفين لأن المتطلبات تختلف حسب الموظف.</x:v>
      </x:c>
      <x:c r="C30" s="16" t="str">
        <x:v>زيارة مقر</x:v>
      </x:c>
      <x:c r="D30" s="16" t="str">
        <x:v>رفحاء</x:v>
      </x:c>
      <x:c r="E30" s="16" t="str">
        <x:v>مواطن</x:v>
      </x:c>
      <x:c r="F30" s="16" t="str">
        <x:v>المركز الشامل وخدمات الجمهور</x:v>
      </x:c>
      <x:c r="G30" s="16" t="str">
        <x:v>شكوى</x:v>
      </x:c>
      <x:c r="H30" s="16" t="str">
        <x:v>سلبي</x:v>
      </x:c>
      <x:c r="I30" s="16" t="str">
        <x:v>تفاوت المعلومات</x:v>
      </x:c>
      <x:c r="J30" s="16" t="str">
        <x:v>متوسط</x:v>
      </x:c>
      <x:c r="K30" s="14" t="n">
        <x:v>2</x:v>
      </x:c>
      <x:c r="L30" s="16" t="str">
        <x:v>إدارة الجودة</x:v>
      </x:c>
      <x:c r="M30" s="16" t="str">
        <x:v>داخل الإمارة</x:v>
      </x:c>
      <x:c r="N30" s="16" t="str">
        <x:v>تحديث قاعدة المعرفة وتدريب الموظفين</x:v>
      </x:c>
      <x:c r="O30" s="16" t="str">
        <x:v>تصنيف الموضوع: تفاوت المعلومات؛ المشاعر: سلبي؛ الأولوية: متوسط؛ الإجراء المقترح: تحديث قاعدة المعرفة وتدريب الموظفين</x:v>
      </x:c>
      <x:c r="P30" s="16" t="str">
        <x:v>نعم</x:v>
      </x:c>
      <x:c r="Q30" s="16" t="str">
        <x:v>نعم</x:v>
      </x:c>
      <x:c r="R30" s="16" t="str">
        <x:v>train</x:v>
      </x:c>
    </x:row>
    <x:row r="31" ht="48" customHeight="1">
      <x:c r="A31" s="14" t="str">
        <x:v>NB-030</x:v>
      </x:c>
      <x:c r="B31" s="16" t="str">
        <x:v>لا أعرف من أين أبدأ عند دخولي المركز، وأقترح وجود موظف توجيه عند المدخل.</x:v>
      </x:c>
      <x:c r="C31" s="16" t="str">
        <x:v>زيارة مقر</x:v>
      </x:c>
      <x:c r="D31" s="16" t="str">
        <x:v>عرعر</x:v>
      </x:c>
      <x:c r="E31" s="16" t="str">
        <x:v>كبار السن</x:v>
      </x:c>
      <x:c r="F31" s="16" t="str">
        <x:v>المركز الشامل وخدمات الجمهور</x:v>
      </x:c>
      <x:c r="G31" s="16" t="str">
        <x:v>اقتراح</x:v>
      </x:c>
      <x:c r="H31" s="16" t="str">
        <x:v>محايد</x:v>
      </x:c>
      <x:c r="I31" s="16" t="str">
        <x:v>توجيه المستفيد</x:v>
      </x:c>
      <x:c r="J31" s="16" t="str">
        <x:v>منخفض</x:v>
      </x:c>
      <x:c r="K31" s="14" t="n">
        <x:v>1</x:v>
      </x:c>
      <x:c r="L31" s="16" t="str">
        <x:v>المركز الشامل</x:v>
      </x:c>
      <x:c r="M31" s="16" t="str">
        <x:v>داخل الإمارة</x:v>
      </x:c>
      <x:c r="N31" s="16" t="str">
        <x:v>إضافة نقطة استقبال أولية</x:v>
      </x:c>
      <x:c r="O31" s="16" t="str">
        <x:v>تصنيف الموضوع: توجيه المستفيد؛ المشاعر: محايد؛ الأولوية: منخفض؛ الإجراء المقترح: إضافة نقطة استقبال أولية</x:v>
      </x:c>
      <x:c r="P31" s="16" t="str">
        <x:v>نعم</x:v>
      </x:c>
      <x:c r="Q31" s="16" t="str">
        <x:v>نعم</x:v>
      </x:c>
      <x:c r="R31" s="16" t="str">
        <x:v>train</x:v>
      </x:c>
    </x:row>
    <x:row r="32" ht="48" customHeight="1">
      <x:c r="A32" s="14" t="str">
        <x:v>NB-031</x:v>
      </x:c>
      <x:c r="B32" s="16" t="str">
        <x:v>تم إنهاء طلبي في زيارة واحدة بعد توفير قائمة المتطلبات مسبقًا.</x:v>
      </x:c>
      <x:c r="C32" s="16" t="str">
        <x:v>زيارة مقر</x:v>
      </x:c>
      <x:c r="D32" s="16" t="str">
        <x:v>طريف</x:v>
      </x:c>
      <x:c r="E32" s="16" t="str">
        <x:v>مواطن</x:v>
      </x:c>
      <x:c r="F32" s="16" t="str">
        <x:v>المركز الشامل وخدمات الجمهور</x:v>
      </x:c>
      <x:c r="G32" s="16" t="str">
        <x:v>شكر</x:v>
      </x:c>
      <x:c r="H32" s="16" t="str">
        <x:v>إيجابي</x:v>
      </x:c>
      <x:c r="I32" s="16" t="str">
        <x:v>إنجاز من أول زيارة</x:v>
      </x:c>
      <x:c r="J32" s="16" t="str">
        <x:v>منخفض</x:v>
      </x:c>
      <x:c r="K32" s="14" t="n">
        <x:v>1</x:v>
      </x:c>
      <x:c r="L32" s="16" t="str">
        <x:v>المركز الشامل</x:v>
      </x:c>
      <x:c r="M32" s="16" t="str">
        <x:v>داخل الإمارة</x:v>
      </x:c>
      <x:c r="N32" s="16" t="str">
        <x:v>توثيق ممارسة ناجحة</x:v>
      </x:c>
      <x:c r="O32" s="16" t="str">
        <x:v>تصنيف الموضوع: إنجاز من أول زيارة؛ المشاعر: إيجابي؛ الأولوية: منخفض؛ الإجراء المقترح: توثيق ممارسة ناجحة</x:v>
      </x:c>
      <x:c r="P32" s="16" t="str">
        <x:v>نعم</x:v>
      </x:c>
      <x:c r="Q32" s="16" t="str">
        <x:v>نعم</x:v>
      </x:c>
      <x:c r="R32" s="16" t="str">
        <x:v>train</x:v>
      </x:c>
    </x:row>
    <x:row r="33" ht="48" customHeight="1">
      <x:c r="A33" s="14" t="str">
        <x:v>NB-032</x:v>
      </x:c>
      <x:c r="B33" s="16" t="str">
        <x:v>أحتاج إمكانية حجز موعد للمركز الشامل بدل الحضور والانتظار.</x:v>
      </x:c>
      <x:c r="C33" s="16" t="str">
        <x:v>بوابة الإمارة</x:v>
      </x:c>
      <x:c r="D33" s="16" t="str">
        <x:v>رفحاء</x:v>
      </x:c>
      <x:c r="E33" s="16" t="str">
        <x:v>مواطن</x:v>
      </x:c>
      <x:c r="F33" s="16" t="str">
        <x:v>المركز الشامل وخدمات الجمهور</x:v>
      </x:c>
      <x:c r="G33" s="16" t="str">
        <x:v>اقتراح</x:v>
      </x:c>
      <x:c r="H33" s="16" t="str">
        <x:v>محايد</x:v>
      </x:c>
      <x:c r="I33" s="16" t="str">
        <x:v>حجز موعد</x:v>
      </x:c>
      <x:c r="J33" s="16" t="str">
        <x:v>متوسط</x:v>
      </x:c>
      <x:c r="K33" s="14" t="n">
        <x:v>2</x:v>
      </x:c>
      <x:c r="L33" s="16" t="str">
        <x:v>إدارة تقنية المعلومات</x:v>
      </x:c>
      <x:c r="M33" s="16" t="str">
        <x:v>داخل الإمارة</x:v>
      </x:c>
      <x:c r="N33" s="16" t="str">
        <x:v>دراسة تفعيل حجز المواعيد</x:v>
      </x:c>
      <x:c r="O33" s="16" t="str">
        <x:v>تصنيف الموضوع: حجز موعد؛ المشاعر: محايد؛ الأولوية: متوسط؛ الإجراء المقترح: دراسة تفعيل حجز المواعيد</x:v>
      </x:c>
      <x:c r="P33" s="16" t="str">
        <x:v>نعم</x:v>
      </x:c>
      <x:c r="Q33" s="16" t="str">
        <x:v>نعم</x:v>
      </x:c>
      <x:c r="R33" s="16" t="str">
        <x:v>train</x:v>
      </x:c>
    </x:row>
    <x:row r="34" ht="48" customHeight="1">
      <x:c r="A34" s="14" t="str">
        <x:v>NB-033</x:v>
      </x:c>
      <x:c r="B34" s="16" t="str">
        <x:v>توجد ملاحظة على عدم وضوح مسار الشكاوى بعد تسليمها في المركز.</x:v>
      </x:c>
      <x:c r="C34" s="16" t="str">
        <x:v>زيارة مقر</x:v>
      </x:c>
      <x:c r="D34" s="16" t="str">
        <x:v>عرعر</x:v>
      </x:c>
      <x:c r="E34" s="16" t="str">
        <x:v>مواطن</x:v>
      </x:c>
      <x:c r="F34" s="16" t="str">
        <x:v>المركز الشامل وخدمات الجمهور</x:v>
      </x:c>
      <x:c r="G34" s="16" t="str">
        <x:v>شكوى</x:v>
      </x:c>
      <x:c r="H34" s="16" t="str">
        <x:v>سلبي</x:v>
      </x:c>
      <x:c r="I34" s="16" t="str">
        <x:v>مسار الشكوى</x:v>
      </x:c>
      <x:c r="J34" s="16" t="str">
        <x:v>متوسط</x:v>
      </x:c>
      <x:c r="K34" s="14" t="n">
        <x:v>2</x:v>
      </x:c>
      <x:c r="L34" s="16" t="str">
        <x:v>إدارة تجربة المستفيد</x:v>
      </x:c>
      <x:c r="M34" s="16" t="str">
        <x:v>داخل الإمارة</x:v>
      </x:c>
      <x:c r="N34" s="16" t="str">
        <x:v>إصدار إيصال شكوى برقم متابعة</x:v>
      </x:c>
      <x:c r="O34" s="16" t="str">
        <x:v>تصنيف الموضوع: مسار الشكوى؛ المشاعر: سلبي؛ الأولوية: متوسط؛ الإجراء المقترح: إصدار إيصال شكوى برقم متابعة</x:v>
      </x:c>
      <x:c r="P34" s="16" t="str">
        <x:v>نعم</x:v>
      </x:c>
      <x:c r="Q34" s="16" t="str">
        <x:v>نعم</x:v>
      </x:c>
      <x:c r="R34" s="16" t="str">
        <x:v>train</x:v>
      </x:c>
    </x:row>
    <x:row r="35" ht="48" customHeight="1">
      <x:c r="A35" s="14" t="str">
        <x:v>NB-034</x:v>
      </x:c>
      <x:c r="B35" s="16" t="str">
        <x:v>يوجد بلاغ سابق بخصوص طريق يخدم إحدى القرى، ونأمل من الإمارة متابعة الجهة المختصة لأن البلاغ لم يغلق حتى الآن.</x:v>
      </x:c>
      <x:c r="C35" s="16" t="str">
        <x:v>بوابة الإمارة</x:v>
      </x:c>
      <x:c r="D35" s="16" t="str">
        <x:v>إحدى القرى التابعة للمنطقة</x:v>
      </x:c>
      <x:c r="E35" s="16" t="str">
        <x:v>أهالي قرية</x:v>
      </x:c>
      <x:c r="F35" s="16" t="str">
        <x:v>الشكاوى والملاحظات المحالة لجهات خدمية</x:v>
      </x:c>
      <x:c r="G35" s="16" t="str">
        <x:v>شكوى</x:v>
      </x:c>
      <x:c r="H35" s="16" t="str">
        <x:v>سلبي</x:v>
      </x:c>
      <x:c r="I35" s="16" t="str">
        <x:v>متابعة بلاغ طريق</x:v>
      </x:c>
      <x:c r="J35" s="16" t="str">
        <x:v>عالي</x:v>
      </x:c>
      <x:c r="K35" s="14" t="n">
        <x:v>3</x:v>
      </x:c>
      <x:c r="L35" s="16" t="str">
        <x:v>إدارة المتابعة</x:v>
      </x:c>
      <x:c r="M35" s="16" t="str">
        <x:v>جهة خدمية خارجية</x:v>
      </x:c>
      <x:c r="N35" s="16" t="str">
        <x:v>تصعيد ومتابعة إغلاق البلاغ</x:v>
      </x:c>
      <x:c r="O35" s="16" t="str">
        <x:v>تصنيف الموضوع: متابعة بلاغ طريق؛ المشاعر: سلبي؛ الأولوية: عالي؛ الإجراء المقترح: تصعيد ومتابعة إغلاق البلاغ</x:v>
      </x:c>
      <x:c r="P35" s="16" t="str">
        <x:v>نعم</x:v>
      </x:c>
      <x:c r="Q35" s="16" t="str">
        <x:v>نعم</x:v>
      </x:c>
      <x:c r="R35" s="16" t="str">
        <x:v>train</x:v>
      </x:c>
    </x:row>
    <x:row r="36" ht="48" customHeight="1">
      <x:c r="A36" s="14" t="str">
        <x:v>NB-035</x:v>
      </x:c>
      <x:c r="B36" s="16" t="str">
        <x:v>توجد ملاحظة متكررة على ضعف الإنارة في أحد الشوارع، ونطلب إحالتها للجهة المختصة مع إفادتنا بالنتيجة.</x:v>
      </x:c>
      <x:c r="C36" s="16" t="str">
        <x:v>اتصال هاتفي</x:v>
      </x:c>
      <x:c r="D36" s="16" t="str">
        <x:v>طريف</x:v>
      </x:c>
      <x:c r="E36" s="16" t="str">
        <x:v>مواطن</x:v>
      </x:c>
      <x:c r="F36" s="16" t="str">
        <x:v>الشكاوى والملاحظات المحالة لجهات خدمية</x:v>
      </x:c>
      <x:c r="G36" s="16" t="str">
        <x:v>شكوى</x:v>
      </x:c>
      <x:c r="H36" s="16" t="str">
        <x:v>سلبي</x:v>
      </x:c>
      <x:c r="I36" s="16" t="str">
        <x:v>إنارة شوارع</x:v>
      </x:c>
      <x:c r="J36" s="16" t="str">
        <x:v>متوسط</x:v>
      </x:c>
      <x:c r="K36" s="14" t="n">
        <x:v>2</x:v>
      </x:c>
      <x:c r="L36" s="16" t="str">
        <x:v>إدارة المتابعة</x:v>
      </x:c>
      <x:c r="M36" s="16" t="str">
        <x:v>جهة خدمية خارجية</x:v>
      </x:c>
      <x:c r="N36" s="16" t="str">
        <x:v>إحالة للجهة المختصة ومتابعة الرد</x:v>
      </x:c>
      <x:c r="O36" s="16" t="str">
        <x:v>تصنيف الموضوع: إنارة شوارع؛ المشاعر: سلبي؛ الأولوية: متوسط؛ الإجراء المقترح: إحالة للجهة المختصة ومتابعة الرد</x:v>
      </x:c>
      <x:c r="P36" s="16" t="str">
        <x:v>نعم</x:v>
      </x:c>
      <x:c r="Q36" s="16" t="str">
        <x:v>نعم</x:v>
      </x:c>
      <x:c r="R36" s="16" t="str">
        <x:v>train</x:v>
      </x:c>
    </x:row>
    <x:row r="37" ht="48" customHeight="1">
      <x:c r="A37" s="14" t="str">
        <x:v>NB-036</x:v>
      </x:c>
      <x:c r="B37" s="16" t="str">
        <x:v>تم رفع بلاغ عن تجمع مياه بعد الأمطار ولم يتم تحديث حالة البلاغ لدى المستفيد.</x:v>
      </x:c>
      <x:c r="C37" s="16" t="str">
        <x:v>بوابة الإمارة</x:v>
      </x:c>
      <x:c r="D37" s="16" t="str">
        <x:v>عرعر</x:v>
      </x:c>
      <x:c r="E37" s="16" t="str">
        <x:v>مواطن</x:v>
      </x:c>
      <x:c r="F37" s="16" t="str">
        <x:v>الشكاوى والملاحظات المحالة لجهات خدمية</x:v>
      </x:c>
      <x:c r="G37" s="16" t="str">
        <x:v>شكوى</x:v>
      </x:c>
      <x:c r="H37" s="16" t="str">
        <x:v>سلبي</x:v>
      </x:c>
      <x:c r="I37" s="16" t="str">
        <x:v>تجمع مياه</x:v>
      </x:c>
      <x:c r="J37" s="16" t="str">
        <x:v>عالي</x:v>
      </x:c>
      <x:c r="K37" s="14" t="n">
        <x:v>3</x:v>
      </x:c>
      <x:c r="L37" s="16" t="str">
        <x:v>إدارة المتابعة</x:v>
      </x:c>
      <x:c r="M37" s="16" t="str">
        <x:v>جهة خدمية خارجية</x:v>
      </x:c>
      <x:c r="N37" s="16" t="str">
        <x:v>متابعة الجهة المحال إليها وتحديث المستفيد</x:v>
      </x:c>
      <x:c r="O37" s="16" t="str">
        <x:v>تصنيف الموضوع: تجمع مياه؛ المشاعر: سلبي؛ الأولوية: عالي؛ الإجراء المقترح: متابعة الجهة المحال إليها وتحديث المستفيد</x:v>
      </x:c>
      <x:c r="P37" s="16" t="str">
        <x:v>نعم</x:v>
      </x:c>
      <x:c r="Q37" s="16" t="str">
        <x:v>نعم</x:v>
      </x:c>
      <x:c r="R37" s="16" t="str">
        <x:v>train</x:v>
      </x:c>
    </x:row>
    <x:row r="38" ht="48" customHeight="1">
      <x:c r="A38" s="14" t="str">
        <x:v>NB-037</x:v>
      </x:c>
      <x:c r="B38" s="16" t="str">
        <x:v>نأمل متابعة ملاحظة النظافة العامة في أحد الأحياء مع البلدية وإبلاغنا برقم الإحالة.</x:v>
      </x:c>
      <x:c r="C38" s="16" t="str">
        <x:v>المركز الشامل</x:v>
      </x:c>
      <x:c r="D38" s="16" t="str">
        <x:v>رفحاء</x:v>
      </x:c>
      <x:c r="E38" s="16" t="str">
        <x:v>مواطن</x:v>
      </x:c>
      <x:c r="F38" s="16" t="str">
        <x:v>الشكاوى والملاحظات المحالة لجهات خدمية</x:v>
      </x:c>
      <x:c r="G38" s="16" t="str">
        <x:v>شكوى</x:v>
      </x:c>
      <x:c r="H38" s="16" t="str">
        <x:v>سلبي</x:v>
      </x:c>
      <x:c r="I38" s="16" t="str">
        <x:v>نظافة عامة</x:v>
      </x:c>
      <x:c r="J38" s="16" t="str">
        <x:v>متوسط</x:v>
      </x:c>
      <x:c r="K38" s="14" t="n">
        <x:v>2</x:v>
      </x:c>
      <x:c r="L38" s="16" t="str">
        <x:v>إدارة المتابعة</x:v>
      </x:c>
      <x:c r="M38" s="16" t="str">
        <x:v>جهة خدمية خارجية</x:v>
      </x:c>
      <x:c r="N38" s="16" t="str">
        <x:v>إصدار رقم إحالة ومتابعة الإغلاق</x:v>
      </x:c>
      <x:c r="O38" s="16" t="str">
        <x:v>تصنيف الموضوع: نظافة عامة؛ المشاعر: سلبي؛ الأولوية: متوسط؛ الإجراء المقترح: إصدار رقم إحالة ومتابعة الإغلاق</x:v>
      </x:c>
      <x:c r="P38" s="16" t="str">
        <x:v>نعم</x:v>
      </x:c>
      <x:c r="Q38" s="16" t="str">
        <x:v>نعم</x:v>
      </x:c>
      <x:c r="R38" s="16" t="str">
        <x:v>train</x:v>
      </x:c>
    </x:row>
    <x:row r="39" ht="48" customHeight="1">
      <x:c r="A39" s="14" t="str">
        <x:v>NB-038</x:v>
      </x:c>
      <x:c r="B39" s="16" t="str">
        <x:v>البلاغ المتعلق بتشوه بصري في مدخل المحافظة تكرر أكثر من مرة دون معالجة واضحة.</x:v>
      </x:c>
      <x:c r="C39" s="16" t="str">
        <x:v>تواصل اجتماعي</x:v>
      </x:c>
      <x:c r="D39" s="16" t="str">
        <x:v>العويقيلة</x:v>
      </x:c>
      <x:c r="E39" s="16" t="str">
        <x:v>مواطن</x:v>
      </x:c>
      <x:c r="F39" s="16" t="str">
        <x:v>الشكاوى والملاحظات المحالة لجهات خدمية</x:v>
      </x:c>
      <x:c r="G39" s="16" t="str">
        <x:v>شكوى</x:v>
      </x:c>
      <x:c r="H39" s="16" t="str">
        <x:v>سلبي</x:v>
      </x:c>
      <x:c r="I39" s="16" t="str">
        <x:v>تشوه بصري</x:v>
      </x:c>
      <x:c r="J39" s="16" t="str">
        <x:v>متوسط</x:v>
      </x:c>
      <x:c r="K39" s="14" t="n">
        <x:v>2</x:v>
      </x:c>
      <x:c r="L39" s="16" t="str">
        <x:v>إدارة المتابعة</x:v>
      </x:c>
      <x:c r="M39" s="16" t="str">
        <x:v>جهة خدمية خارجية</x:v>
      </x:c>
      <x:c r="N39" s="16" t="str">
        <x:v>تصعيد البلاغ المتكرر للجهة المختصة</x:v>
      </x:c>
      <x:c r="O39" s="16" t="str">
        <x:v>تصنيف الموضوع: تشوه بصري؛ المشاعر: سلبي؛ الأولوية: متوسط؛ الإجراء المقترح: تصعيد البلاغ المتكرر للجهة المختصة</x:v>
      </x:c>
      <x:c r="P39" s="16" t="str">
        <x:v>نعم</x:v>
      </x:c>
      <x:c r="Q39" s="16" t="str">
        <x:v>نعم</x:v>
      </x:c>
      <x:c r="R39" s="16" t="str">
        <x:v>train</x:v>
      </x:c>
    </x:row>
    <x:row r="40" ht="48" customHeight="1">
      <x:c r="A40" s="14" t="str">
        <x:v>NB-039</x:v>
      </x:c>
      <x:c r="B40" s="16" t="str">
        <x:v>نحتاج متابعة ضعف شبكة الاتصال في أحد المراكز لأنه يؤثر على تقديم الخدمات الرقمية.</x:v>
      </x:c>
      <x:c r="C40" s="16" t="str">
        <x:v>زيارة محافظة</x:v>
      </x:c>
      <x:c r="D40" s="16" t="str">
        <x:v>مركز تابع للمنطقة</x:v>
      </x:c>
      <x:c r="E40" s="16" t="str">
        <x:v>أهالي مركز</x:v>
      </x:c>
      <x:c r="F40" s="16" t="str">
        <x:v>الشكاوى والملاحظات المحالة لجهات خدمية</x:v>
      </x:c>
      <x:c r="G40" s="16" t="str">
        <x:v>شكوى</x:v>
      </x:c>
      <x:c r="H40" s="16" t="str">
        <x:v>سلبي</x:v>
      </x:c>
      <x:c r="I40" s="16" t="str">
        <x:v>ضعف اتصال</x:v>
      </x:c>
      <x:c r="J40" s="16" t="str">
        <x:v>عالي</x:v>
      </x:c>
      <x:c r="K40" s="14" t="n">
        <x:v>3</x:v>
      </x:c>
      <x:c r="L40" s="16" t="str">
        <x:v>إدارة المتابعة</x:v>
      </x:c>
      <x:c r="M40" s="16" t="str">
        <x:v>جهة خدمية خارجية</x:v>
      </x:c>
      <x:c r="N40" s="16" t="str">
        <x:v>إحالة ومتابعة مع الجهة المختصة</x:v>
      </x:c>
      <x:c r="O40" s="16" t="str">
        <x:v>تصنيف الموضوع: ضعف اتصال؛ المشاعر: سلبي؛ الأولوية: عالي؛ الإجراء المقترح: إحالة ومتابعة مع الجهة المختصة</x:v>
      </x:c>
      <x:c r="P40" s="16" t="str">
        <x:v>نعم</x:v>
      </x:c>
      <x:c r="Q40" s="16" t="str">
        <x:v>نعم</x:v>
      </x:c>
      <x:c r="R40" s="16" t="str">
        <x:v>train</x:v>
      </x:c>
    </x:row>
    <x:row r="41" ht="48" customHeight="1">
      <x:c r="A41" s="14" t="str">
        <x:v>NB-040</x:v>
      </x:c>
      <x:c r="B41" s="16" t="str">
        <x:v>تمت معالجة بلاغ الإنارة بعد متابعة الإمارة مع الجهة المختصة، ونشكر سرعة التجاوب.</x:v>
      </x:c>
      <x:c r="C41" s="16" t="str">
        <x:v>بوابة الإمارة</x:v>
      </x:c>
      <x:c r="D41" s="16" t="str">
        <x:v>رفحاء</x:v>
      </x:c>
      <x:c r="E41" s="16" t="str">
        <x:v>مواطن</x:v>
      </x:c>
      <x:c r="F41" s="16" t="str">
        <x:v>الشكاوى والملاحظات المحالة لجهات خدمية</x:v>
      </x:c>
      <x:c r="G41" s="16" t="str">
        <x:v>شكر</x:v>
      </x:c>
      <x:c r="H41" s="16" t="str">
        <x:v>إيجابي</x:v>
      </x:c>
      <x:c r="I41" s="16" t="str">
        <x:v>إغلاق بلاغ محال</x:v>
      </x:c>
      <x:c r="J41" s="16" t="str">
        <x:v>منخفض</x:v>
      </x:c>
      <x:c r="K41" s="14" t="n">
        <x:v>1</x:v>
      </x:c>
      <x:c r="L41" s="16" t="str">
        <x:v>إدارة المتابعة</x:v>
      </x:c>
      <x:c r="M41" s="16" t="str">
        <x:v>جهة خدمية خارجية</x:v>
      </x:c>
      <x:c r="N41" s="16" t="str">
        <x:v>توثيق حالة إغلاق ناجحة</x:v>
      </x:c>
      <x:c r="O41" s="16" t="str">
        <x:v>تصنيف الموضوع: إغلاق بلاغ محال؛ المشاعر: إيجابي؛ الأولوية: منخفض؛ الإجراء المقترح: توثيق حالة إغلاق ناجحة</x:v>
      </x:c>
      <x:c r="P41" s="16" t="str">
        <x:v>نعم</x:v>
      </x:c>
      <x:c r="Q41" s="16" t="str">
        <x:v>نعم</x:v>
      </x:c>
      <x:c r="R41" s="16" t="str">
        <x:v>train</x:v>
      </x:c>
    </x:row>
    <x:row r="42" ht="48" customHeight="1">
      <x:c r="A42" s="14" t="str">
        <x:v>NB-041</x:v>
      </x:c>
      <x:c r="B42" s="16" t="str">
        <x:v>أرغب بمعرفة الجهة التي تمت إحالة ملاحظتي إليها وموعد الرد المتوقع.</x:v>
      </x:c>
      <x:c r="C42" s="16" t="str">
        <x:v>اتصال هاتفي</x:v>
      </x:c>
      <x:c r="D42" s="16" t="str">
        <x:v>عرعر</x:v>
      </x:c>
      <x:c r="E42" s="16" t="str">
        <x:v>مواطن</x:v>
      </x:c>
      <x:c r="F42" s="16" t="str">
        <x:v>الشكاوى والملاحظات المحالة لجهات خدمية</x:v>
      </x:c>
      <x:c r="G42" s="16" t="str">
        <x:v>استفسار</x:v>
      </x:c>
      <x:c r="H42" s="16" t="str">
        <x:v>محايد</x:v>
      </x:c>
      <x:c r="I42" s="16" t="str">
        <x:v>استعلام عن إحالة</x:v>
      </x:c>
      <x:c r="J42" s="16" t="str">
        <x:v>منخفض</x:v>
      </x:c>
      <x:c r="K42" s="14" t="n">
        <x:v>1</x:v>
      </x:c>
      <x:c r="L42" s="16" t="str">
        <x:v>المركز الشامل</x:v>
      </x:c>
      <x:c r="M42" s="16" t="str">
        <x:v>جهة خدمية خارجية</x:v>
      </x:c>
      <x:c r="N42" s="16" t="str">
        <x:v>توضيح الجهة المحال إليها وموعد الرد</x:v>
      </x:c>
      <x:c r="O42" s="16" t="str">
        <x:v>تصنيف الموضوع: استعلام عن إحالة؛ المشاعر: محايد؛ الأولوية: منخفض؛ الإجراء المقترح: توضيح الجهة المحال إليها وموعد الرد</x:v>
      </x:c>
      <x:c r="P42" s="16" t="str">
        <x:v>نعم</x:v>
      </x:c>
      <x:c r="Q42" s="16" t="str">
        <x:v>نعم</x:v>
      </x:c>
      <x:c r="R42" s="16" t="str">
        <x:v>train</x:v>
      </x:c>
    </x:row>
    <x:row r="43" ht="48" customHeight="1">
      <x:c r="A43" s="14" t="str">
        <x:v>NB-042</x:v>
      </x:c>
      <x:c r="B43" s="16" t="str">
        <x:v>توجد ملاحظة على تأخر سفلتة طريق يخدم عدة مزارع، ونطلب متابعة الموضوع مع الجهة المختصة.</x:v>
      </x:c>
      <x:c r="C43" s="16" t="str">
        <x:v>زيارة محافظة</x:v>
      </x:c>
      <x:c r="D43" s="16" t="str">
        <x:v>رفحاء</x:v>
      </x:c>
      <x:c r="E43" s="16" t="str">
        <x:v>أهالي قرية</x:v>
      </x:c>
      <x:c r="F43" s="16" t="str">
        <x:v>الشكاوى والملاحظات المحالة لجهات خدمية</x:v>
      </x:c>
      <x:c r="G43" s="16" t="str">
        <x:v>شكوى</x:v>
      </x:c>
      <x:c r="H43" s="16" t="str">
        <x:v>سلبي</x:v>
      </x:c>
      <x:c r="I43" s="16" t="str">
        <x:v>سفلتة طريق</x:v>
      </x:c>
      <x:c r="J43" s="16" t="str">
        <x:v>عالي</x:v>
      </x:c>
      <x:c r="K43" s="14" t="n">
        <x:v>3</x:v>
      </x:c>
      <x:c r="L43" s="16" t="str">
        <x:v>إدارة المتابعة</x:v>
      </x:c>
      <x:c r="M43" s="16" t="str">
        <x:v>جهة خدمية خارجية</x:v>
      </x:c>
      <x:c r="N43" s="16" t="str">
        <x:v>تصعيد للجهة المختصة ومتابعة الرد</x:v>
      </x:c>
      <x:c r="O43" s="16" t="str">
        <x:v>تصنيف الموضوع: سفلتة طريق؛ المشاعر: سلبي؛ الأولوية: عالي؛ الإجراء المقترح: تصعيد للجهة المختصة ومتابعة الرد</x:v>
      </x:c>
      <x:c r="P43" s="16" t="str">
        <x:v>نعم</x:v>
      </x:c>
      <x:c r="Q43" s="16" t="str">
        <x:v>نعم</x:v>
      </x:c>
      <x:c r="R43" s="16" t="str">
        <x:v>train</x:v>
      </x:c>
    </x:row>
    <x:row r="44" ht="48" customHeight="1">
      <x:c r="A44" s="14" t="str">
        <x:v>NB-043</x:v>
      </x:c>
      <x:c r="B44" s="16" t="str">
        <x:v>نرجو من الإمارة متابعة طلب تحسين مدخل المركز مع الجهة المالكة للمشروع.</x:v>
      </x:c>
      <x:c r="C44" s="16" t="str">
        <x:v>المركز الشامل</x:v>
      </x:c>
      <x:c r="D44" s="16" t="str">
        <x:v>مركز تابع للمنطقة</x:v>
      </x:c>
      <x:c r="E44" s="16" t="str">
        <x:v>أهالي مركز</x:v>
      </x:c>
      <x:c r="F44" s="16" t="str">
        <x:v>الشكاوى والملاحظات المحالة لجهات خدمية</x:v>
      </x:c>
      <x:c r="G44" s="16" t="str">
        <x:v>ملاحظة</x:v>
      </x:c>
      <x:c r="H44" s="16" t="str">
        <x:v>محايد</x:v>
      </x:c>
      <x:c r="I44" s="16" t="str">
        <x:v>تحسين مدخل مركز</x:v>
      </x:c>
      <x:c r="J44" s="16" t="str">
        <x:v>متوسط</x:v>
      </x:c>
      <x:c r="K44" s="14" t="n">
        <x:v>2</x:v>
      </x:c>
      <x:c r="L44" s="16" t="str">
        <x:v>إدارة المتابعة</x:v>
      </x:c>
      <x:c r="M44" s="16" t="str">
        <x:v>جهة خدمية خارجية</x:v>
      </x:c>
      <x:c r="N44" s="16" t="str">
        <x:v>إحالة رسمية ومتابعة حالة المشروع</x:v>
      </x:c>
      <x:c r="O44" s="16" t="str">
        <x:v>تصنيف الموضوع: تحسين مدخل مركز؛ المشاعر: محايد؛ الأولوية: متوسط؛ الإجراء المقترح: إحالة رسمية ومتابعة حالة المشروع</x:v>
      </x:c>
      <x:c r="P44" s="16" t="str">
        <x:v>نعم</x:v>
      </x:c>
      <x:c r="Q44" s="16" t="str">
        <x:v>نعم</x:v>
      </x:c>
      <x:c r="R44" s="16" t="str">
        <x:v>train</x:v>
      </x:c>
    </x:row>
    <x:row r="45" ht="48" customHeight="1">
      <x:c r="A45" s="14" t="str">
        <x:v>NB-044</x:v>
      </x:c>
      <x:c r="B45" s="16" t="str">
        <x:v>سبق تقديم ملاحظة عن حاويات النظافة ولم تصل إفادة من الجهة المختصة.</x:v>
      </x:c>
      <x:c r="C45" s="16" t="str">
        <x:v>بوابة الإمارة</x:v>
      </x:c>
      <x:c r="D45" s="16" t="str">
        <x:v>طريف</x:v>
      </x:c>
      <x:c r="E45" s="16" t="str">
        <x:v>مواطن</x:v>
      </x:c>
      <x:c r="F45" s="16" t="str">
        <x:v>الشكاوى والملاحظات المحالة لجهات خدمية</x:v>
      </x:c>
      <x:c r="G45" s="16" t="str">
        <x:v>شكوى</x:v>
      </x:c>
      <x:c r="H45" s="16" t="str">
        <x:v>سلبي</x:v>
      </x:c>
      <x:c r="I45" s="16" t="str">
        <x:v>تأخر إفادة جهة محالة</x:v>
      </x:c>
      <x:c r="J45" s="16" t="str">
        <x:v>متوسط</x:v>
      </x:c>
      <x:c r="K45" s="14" t="n">
        <x:v>2</x:v>
      </x:c>
      <x:c r="L45" s="16" t="str">
        <x:v>إدارة المتابعة</x:v>
      </x:c>
      <x:c r="M45" s="16" t="str">
        <x:v>جهة خدمية خارجية</x:v>
      </x:c>
      <x:c r="N45" s="16" t="str">
        <x:v>متابعة الرد وإبلاغ المستفيد</x:v>
      </x:c>
      <x:c r="O45" s="16" t="str">
        <x:v>تصنيف الموضوع: تأخر إفادة جهة محالة؛ المشاعر: سلبي؛ الأولوية: متوسط؛ الإجراء المقترح: متابعة الرد وإبلاغ المستفيد</x:v>
      </x:c>
      <x:c r="P45" s="16" t="str">
        <x:v>نعم</x:v>
      </x:c>
      <x:c r="Q45" s="16" t="str">
        <x:v>نعم</x:v>
      </x:c>
      <x:c r="R45" s="16" t="str">
        <x:v>train</x:v>
      </x:c>
    </x:row>
    <x:row r="46" ht="48" customHeight="1">
      <x:c r="A46" s="14" t="str">
        <x:v>NB-045</x:v>
      </x:c>
      <x:c r="B46" s="16" t="str">
        <x:v>توجد شكوى متكررة من ازدحام عند مخرج أحد الأحياء ونحتاج تنسيقًا مع الجهات ذات العلاقة.</x:v>
      </x:c>
      <x:c r="C46" s="16" t="str">
        <x:v>تواصل اجتماعي</x:v>
      </x:c>
      <x:c r="D46" s="16" t="str">
        <x:v>عرعر</x:v>
      </x:c>
      <x:c r="E46" s="16" t="str">
        <x:v>مواطن</x:v>
      </x:c>
      <x:c r="F46" s="16" t="str">
        <x:v>الشكاوى والملاحظات المحالة لجهات خدمية</x:v>
      </x:c>
      <x:c r="G46" s="16" t="str">
        <x:v>شكوى</x:v>
      </x:c>
      <x:c r="H46" s="16" t="str">
        <x:v>سلبي</x:v>
      </x:c>
      <x:c r="I46" s="16" t="str">
        <x:v>ازدحام مروري</x:v>
      </x:c>
      <x:c r="J46" s="16" t="str">
        <x:v>متوسط</x:v>
      </x:c>
      <x:c r="K46" s="14" t="n">
        <x:v>2</x:v>
      </x:c>
      <x:c r="L46" s="16" t="str">
        <x:v>إدارة المتابعة</x:v>
      </x:c>
      <x:c r="M46" s="16" t="str">
        <x:v>جهات متعددة</x:v>
      </x:c>
      <x:c r="N46" s="16" t="str">
        <x:v>تنسيق اجتماع متابعة مع الجهات ذات العلاقة</x:v>
      </x:c>
      <x:c r="O46" s="16" t="str">
        <x:v>تصنيف الموضوع: ازدحام مروري؛ المشاعر: سلبي؛ الأولوية: متوسط؛ الإجراء المقترح: تنسيق اجتماع متابعة مع الجهات ذات العلاقة</x:v>
      </x:c>
      <x:c r="P46" s="16" t="str">
        <x:v>نعم</x:v>
      </x:c>
      <x:c r="Q46" s="16" t="str">
        <x:v>نعم</x:v>
      </x:c>
      <x:c r="R46" s="16" t="str">
        <x:v>train</x:v>
      </x:c>
    </x:row>
    <x:row r="47" ht="48" customHeight="1">
      <x:c r="A47" s="14" t="str">
        <x:v>NB-046</x:v>
      </x:c>
      <x:c r="B47" s="16" t="str">
        <x:v>أرسلت ملاحظة عن حفريات مفتوحة قرب طريق عام ولم أستلم ما يفيد إحالتها.</x:v>
      </x:c>
      <x:c r="C47" s="16" t="str">
        <x:v>بوابة الإمارة</x:v>
      </x:c>
      <x:c r="D47" s="16" t="str">
        <x:v>رفحاء</x:v>
      </x:c>
      <x:c r="E47" s="16" t="str">
        <x:v>مواطن</x:v>
      </x:c>
      <x:c r="F47" s="16" t="str">
        <x:v>الشكاوى والملاحظات المحالة لجهات خدمية</x:v>
      </x:c>
      <x:c r="G47" s="16" t="str">
        <x:v>شكوى</x:v>
      </x:c>
      <x:c r="H47" s="16" t="str">
        <x:v>سلبي</x:v>
      </x:c>
      <x:c r="I47" s="16" t="str">
        <x:v>حفريات</x:v>
      </x:c>
      <x:c r="J47" s="16" t="str">
        <x:v>عالي</x:v>
      </x:c>
      <x:c r="K47" s="14" t="n">
        <x:v>3</x:v>
      </x:c>
      <x:c r="L47" s="16" t="str">
        <x:v>إدارة المتابعة</x:v>
      </x:c>
      <x:c r="M47" s="16" t="str">
        <x:v>جهة خدمية خارجية</x:v>
      </x:c>
      <x:c r="N47" s="16" t="str">
        <x:v>إحالة عاجلة وتأكيد الاستلام</x:v>
      </x:c>
      <x:c r="O47" s="16" t="str">
        <x:v>تصنيف الموضوع: حفريات؛ المشاعر: سلبي؛ الأولوية: عالي؛ الإجراء المقترح: إحالة عاجلة وتأكيد الاستلام</x:v>
      </x:c>
      <x:c r="P47" s="16" t="str">
        <x:v>نعم</x:v>
      </x:c>
      <x:c r="Q47" s="16" t="str">
        <x:v>نعم</x:v>
      </x:c>
      <x:c r="R47" s="16" t="str">
        <x:v>train</x:v>
      </x:c>
    </x:row>
    <x:row r="48" ht="48" customHeight="1">
      <x:c r="A48" s="14" t="str">
        <x:v>NB-047</x:v>
      </x:c>
      <x:c r="B48" s="16" t="str">
        <x:v>تمت إحالة طلبي إلى البلدية لكن لا تظهر أي تحديثات بعد الإحالة.</x:v>
      </x:c>
      <x:c r="C48" s="16" t="str">
        <x:v>بوابة الإمارة</x:v>
      </x:c>
      <x:c r="D48" s="16" t="str">
        <x:v>طريف</x:v>
      </x:c>
      <x:c r="E48" s="16" t="str">
        <x:v>مواطن</x:v>
      </x:c>
      <x:c r="F48" s="16" t="str">
        <x:v>الشكاوى والملاحظات المحالة لجهات خدمية</x:v>
      </x:c>
      <x:c r="G48" s="16" t="str">
        <x:v>شكوى</x:v>
      </x:c>
      <x:c r="H48" s="16" t="str">
        <x:v>سلبي</x:v>
      </x:c>
      <x:c r="I48" s="16" t="str">
        <x:v>تحديثات ما بعد الإحالة</x:v>
      </x:c>
      <x:c r="J48" s="16" t="str">
        <x:v>متوسط</x:v>
      </x:c>
      <x:c r="K48" s="14" t="n">
        <x:v>2</x:v>
      </x:c>
      <x:c r="L48" s="16" t="str">
        <x:v>إدارة تقنية المعلومات</x:v>
      </x:c>
      <x:c r="M48" s="16" t="str">
        <x:v>جهة خدمية خارجية</x:v>
      </x:c>
      <x:c r="N48" s="16" t="str">
        <x:v>إظهار تحديثات الإحالات الخارجية</x:v>
      </x:c>
      <x:c r="O48" s="16" t="str">
        <x:v>تصنيف الموضوع: تحديثات ما بعد الإحالة؛ المشاعر: سلبي؛ الأولوية: متوسط؛ الإجراء المقترح: إظهار تحديثات الإحالات الخارجية</x:v>
      </x:c>
      <x:c r="P48" s="16" t="str">
        <x:v>نعم</x:v>
      </x:c>
      <x:c r="Q48" s="16" t="str">
        <x:v>نعم</x:v>
      </x:c>
      <x:c r="R48" s="16" t="str">
        <x:v>train</x:v>
      </x:c>
    </x:row>
    <x:row r="49" ht="48" customHeight="1">
      <x:c r="A49" s="14" t="str">
        <x:v>NB-048</x:v>
      </x:c>
      <x:c r="B49" s="16" t="str">
        <x:v>أقترح أن تظهر في منصة الإمارة حالة البلاغ المحال للجهة الخدمية حتى إغلاقه.</x:v>
      </x:c>
      <x:c r="C49" s="16" t="str">
        <x:v>بوابة الإمارة</x:v>
      </x:c>
      <x:c r="D49" s="16" t="str">
        <x:v>عرعر</x:v>
      </x:c>
      <x:c r="E49" s="16" t="str">
        <x:v>مواطن</x:v>
      </x:c>
      <x:c r="F49" s="16" t="str">
        <x:v>الشكاوى والملاحظات المحالة لجهات خدمية</x:v>
      </x:c>
      <x:c r="G49" s="16" t="str">
        <x:v>اقتراح</x:v>
      </x:c>
      <x:c r="H49" s="16" t="str">
        <x:v>محايد</x:v>
      </x:c>
      <x:c r="I49" s="16" t="str">
        <x:v>تتبع الإحالات الخارجية</x:v>
      </x:c>
      <x:c r="J49" s="16" t="str">
        <x:v>منخفض</x:v>
      </x:c>
      <x:c r="K49" s="14" t="n">
        <x:v>1</x:v>
      </x:c>
      <x:c r="L49" s="16" t="str">
        <x:v>إدارة تجربة المستفيد</x:v>
      </x:c>
      <x:c r="M49" s="16" t="str">
        <x:v>جهة خدمية خارجية</x:v>
      </x:c>
      <x:c r="N49" s="16" t="str">
        <x:v>دراسة لوحة تتبع للإحالات</x:v>
      </x:c>
      <x:c r="O49" s="16" t="str">
        <x:v>تصنيف الموضوع: تتبع الإحالات الخارجية؛ المشاعر: محايد؛ الأولوية: منخفض؛ الإجراء المقترح: دراسة لوحة تتبع للإحالات</x:v>
      </x:c>
      <x:c r="P49" s="16" t="str">
        <x:v>نعم</x:v>
      </x:c>
      <x:c r="Q49" s="16" t="str">
        <x:v>نعم</x:v>
      </x:c>
      <x:c r="R49" s="16" t="str">
        <x:v>train</x:v>
      </x:c>
    </x:row>
    <x:row r="50" ht="48" customHeight="1">
      <x:c r="A50" s="14" t="str">
        <x:v>NB-049</x:v>
      </x:c>
      <x:c r="B50" s="16" t="str">
        <x:v>أهالي أحد المراكز يطلبون تحسين آلية استقبال الملاحظات وربطها بالمحافظة مباشرة.</x:v>
      </x:c>
      <x:c r="C50" s="16" t="str">
        <x:v>زيارة محافظة</x:v>
      </x:c>
      <x:c r="D50" s="16" t="str">
        <x:v>مركز تابع للمنطقة</x:v>
      </x:c>
      <x:c r="E50" s="16" t="str">
        <x:v>أهالي مركز</x:v>
      </x:c>
      <x:c r="F50" s="16" t="str">
        <x:v>المحافظات والمراكز والقرى والهجر</x:v>
      </x:c>
      <x:c r="G50" s="16" t="str">
        <x:v>اقتراح</x:v>
      </x:c>
      <x:c r="H50" s="16" t="str">
        <x:v>محايد</x:v>
      </x:c>
      <x:c r="I50" s="16" t="str">
        <x:v>ربط الملاحظات بالمحافظة</x:v>
      </x:c>
      <x:c r="J50" s="16" t="str">
        <x:v>متوسط</x:v>
      </x:c>
      <x:c r="K50" s="14" t="n">
        <x:v>2</x:v>
      </x:c>
      <x:c r="L50" s="16" t="str">
        <x:v>المحافظة/المركز</x:v>
      </x:c>
      <x:c r="M50" s="16" t="str">
        <x:v>داخل الإمارة</x:v>
      </x:c>
      <x:c r="N50" s="16" t="str">
        <x:v>تفعيل مسار استقبال مباشر للمراكز</x:v>
      </x:c>
      <x:c r="O50" s="16" t="str">
        <x:v>تصنيف الموضوع: ربط الملاحظات بالمحافظة؛ المشاعر: محايد؛ الأولوية: متوسط؛ الإجراء المقترح: تفعيل مسار استقبال مباشر للمراكز</x:v>
      </x:c>
      <x:c r="P50" s="16" t="str">
        <x:v>نعم</x:v>
      </x:c>
      <x:c r="Q50" s="16" t="str">
        <x:v>نعم</x:v>
      </x:c>
      <x:c r="R50" s="16" t="str">
        <x:v>train</x:v>
      </x:c>
    </x:row>
    <x:row r="51" ht="48" customHeight="1">
      <x:c r="A51" s="14" t="str">
        <x:v>NB-050</x:v>
      </x:c>
      <x:c r="B51" s="16" t="str">
        <x:v>نواجه صعوبة في معرفة الجهة المسؤولة عن متابعة طلبات القرى والهجر بعد رفعها للإمارة.</x:v>
      </x:c>
      <x:c r="C51" s="16" t="str">
        <x:v>اتصال هاتفي</x:v>
      </x:c>
      <x:c r="D51" s="16" t="str">
        <x:v>هجرة تابعة للمنطقة</x:v>
      </x:c>
      <x:c r="E51" s="16" t="str">
        <x:v>أهالي هجرة</x:v>
      </x:c>
      <x:c r="F51" s="16" t="str">
        <x:v>المحافظات والمراكز والقرى والهجر</x:v>
      </x:c>
      <x:c r="G51" s="16" t="str">
        <x:v>شكوى</x:v>
      </x:c>
      <x:c r="H51" s="16" t="str">
        <x:v>سلبي</x:v>
      </x:c>
      <x:c r="I51" s="16" t="str">
        <x:v>مسؤولية متابعة غير واضحة</x:v>
      </x:c>
      <x:c r="J51" s="16" t="str">
        <x:v>متوسط</x:v>
      </x:c>
      <x:c r="K51" s="14" t="n">
        <x:v>2</x:v>
      </x:c>
      <x:c r="L51" s="16" t="str">
        <x:v>إدارة المتابعة</x:v>
      </x:c>
      <x:c r="M51" s="16" t="str">
        <x:v>داخل الإمارة</x:v>
      </x:c>
      <x:c r="N51" s="16" t="str">
        <x:v>تحديد مالك متابعة حسب النطاق الجغرافي</x:v>
      </x:c>
      <x:c r="O51" s="16" t="str">
        <x:v>تصنيف الموضوع: مسؤولية متابعة غير واضحة؛ المشاعر: سلبي؛ الأولوية: متوسط؛ الإجراء المقترح: تحديد مالك متابعة حسب النطاق الجغرافي</x:v>
      </x:c>
      <x:c r="P51" s="16" t="str">
        <x:v>نعم</x:v>
      </x:c>
      <x:c r="Q51" s="16" t="str">
        <x:v>نعم</x:v>
      </x:c>
      <x:c r="R51" s="16" t="str">
        <x:v>train</x:v>
      </x:c>
    </x:row>
    <x:row r="52" ht="48" customHeight="1">
      <x:c r="A52" s="14" t="str">
        <x:v>NB-051</x:v>
      </x:c>
      <x:c r="B52" s="16" t="str">
        <x:v>نحتاج قناة رقمية مخصصة لملاحظات المحافظات والمراكز بدل الاعتماد على المراجعة الحضورية.</x:v>
      </x:c>
      <x:c r="C52" s="16" t="str">
        <x:v>بوابة الإمارة</x:v>
      </x:c>
      <x:c r="D52" s="16" t="str">
        <x:v>رفحاء</x:v>
      </x:c>
      <x:c r="E52" s="16" t="str">
        <x:v>أهالي مركز</x:v>
      </x:c>
      <x:c r="F52" s="16" t="str">
        <x:v>المحافظات والمراكز والقرى والهجر</x:v>
      </x:c>
      <x:c r="G52" s="16" t="str">
        <x:v>اقتراح</x:v>
      </x:c>
      <x:c r="H52" s="16" t="str">
        <x:v>محايد</x:v>
      </x:c>
      <x:c r="I52" s="16" t="str">
        <x:v>قناة ملاحظات للمراكز</x:v>
      </x:c>
      <x:c r="J52" s="16" t="str">
        <x:v>متوسط</x:v>
      </x:c>
      <x:c r="K52" s="14" t="n">
        <x:v>2</x:v>
      </x:c>
      <x:c r="L52" s="16" t="str">
        <x:v>إدارة تقنية المعلومات</x:v>
      </x:c>
      <x:c r="M52" s="16" t="str">
        <x:v>داخل الإمارة</x:v>
      </x:c>
      <x:c r="N52" s="16" t="str">
        <x:v>إضافة تصنيف جغرافي للملاحظات</x:v>
      </x:c>
      <x:c r="O52" s="16" t="str">
        <x:v>تصنيف الموضوع: قناة ملاحظات للمراكز؛ المشاعر: محايد؛ الأولوية: متوسط؛ الإجراء المقترح: إضافة تصنيف جغرافي للملاحظات</x:v>
      </x:c>
      <x:c r="P52" s="16" t="str">
        <x:v>نعم</x:v>
      </x:c>
      <x:c r="Q52" s="16" t="str">
        <x:v>نعم</x:v>
      </x:c>
      <x:c r="R52" s="16" t="str">
        <x:v>train</x:v>
      </x:c>
    </x:row>
    <x:row r="53" ht="48" customHeight="1">
      <x:c r="A53" s="14" t="str">
        <x:v>NB-052</x:v>
      </x:c>
      <x:c r="B53" s="16" t="str">
        <x:v>تم رفع طلب متعلق بخدمات أحد المراكز ولم يتم إشعار المحافظة بالحالة.</x:v>
      </x:c>
      <x:c r="C53" s="16" t="str">
        <x:v>زيارة محافظة</x:v>
      </x:c>
      <x:c r="D53" s="16" t="str">
        <x:v>العويقيلة</x:v>
      </x:c>
      <x:c r="E53" s="16" t="str">
        <x:v>مندوب جهة</x:v>
      </x:c>
      <x:c r="F53" s="16" t="str">
        <x:v>المحافظات والمراكز والقرى والهجر</x:v>
      </x:c>
      <x:c r="G53" s="16" t="str">
        <x:v>شكوى</x:v>
      </x:c>
      <x:c r="H53" s="16" t="str">
        <x:v>سلبي</x:v>
      </x:c>
      <x:c r="I53" s="16" t="str">
        <x:v>إشعار المحافظة</x:v>
      </x:c>
      <x:c r="J53" s="16" t="str">
        <x:v>متوسط</x:v>
      </x:c>
      <x:c r="K53" s="14" t="n">
        <x:v>2</x:v>
      </x:c>
      <x:c r="L53" s="16" t="str">
        <x:v>المحافظة/المركز</x:v>
      </x:c>
      <x:c r="M53" s="16" t="str">
        <x:v>داخل الإمارة</x:v>
      </x:c>
      <x:c r="N53" s="16" t="str">
        <x:v>ربط إشعارات الطلبات بالمحافظة المعنية</x:v>
      </x:c>
      <x:c r="O53" s="16" t="str">
        <x:v>تصنيف الموضوع: إشعار المحافظة؛ المشاعر: سلبي؛ الأولوية: متوسط؛ الإجراء المقترح: ربط إشعارات الطلبات بالمحافظة المعنية</x:v>
      </x:c>
      <x:c r="P53" s="16" t="str">
        <x:v>نعم</x:v>
      </x:c>
      <x:c r="Q53" s="16" t="str">
        <x:v>نعم</x:v>
      </x:c>
      <x:c r="R53" s="16" t="str">
        <x:v>train</x:v>
      </x:c>
    </x:row>
    <x:row r="54" ht="48" customHeight="1">
      <x:c r="A54" s="14" t="str">
        <x:v>NB-053</x:v>
      </x:c>
      <x:c r="B54" s="16" t="str">
        <x:v>أقترح عرض الشكاوى المتكررة حسب المحافظة لتحديد الأولويات الشهرية.</x:v>
      </x:c>
      <x:c r="C54" s="16" t="str">
        <x:v>البريد الإلكتروني</x:v>
      </x:c>
      <x:c r="D54" s="16" t="str">
        <x:v>عرعر</x:v>
      </x:c>
      <x:c r="E54" s="16" t="str">
        <x:v>موظف داخلي</x:v>
      </x:c>
      <x:c r="F54" s="16" t="str">
        <x:v>المحافظات والمراكز والقرى والهجر</x:v>
      </x:c>
      <x:c r="G54" s="16" t="str">
        <x:v>اقتراح</x:v>
      </x:c>
      <x:c r="H54" s="16" t="str">
        <x:v>محايد</x:v>
      </x:c>
      <x:c r="I54" s="16" t="str">
        <x:v>تحليل مكاني للشكاوى</x:v>
      </x:c>
      <x:c r="J54" s="16" t="str">
        <x:v>منخفض</x:v>
      </x:c>
      <x:c r="K54" s="14" t="n">
        <x:v>1</x:v>
      </x:c>
      <x:c r="L54" s="16" t="str">
        <x:v>إدارة الجودة</x:v>
      </x:c>
      <x:c r="M54" s="16" t="str">
        <x:v>داخل الإمارة</x:v>
      </x:c>
      <x:c r="N54" s="16" t="str">
        <x:v>إعداد لوحة مؤشرات حسب المحافظة</x:v>
      </x:c>
      <x:c r="O54" s="16" t="str">
        <x:v>تصنيف الموضوع: تحليل مكاني للشكاوى؛ المشاعر: محايد؛ الأولوية: منخفض؛ الإجراء المقترح: إعداد لوحة مؤشرات حسب المحافظة</x:v>
      </x:c>
      <x:c r="P54" s="16" t="str">
        <x:v>نعم</x:v>
      </x:c>
      <x:c r="Q54" s="16" t="str">
        <x:v>نعم</x:v>
      </x:c>
      <x:c r="R54" s="16" t="str">
        <x:v>train</x:v>
      </x:c>
    </x:row>
    <x:row r="55" ht="48" customHeight="1">
      <x:c r="A55" s="14" t="str">
        <x:v>NB-054</x:v>
      </x:c>
      <x:c r="B55" s="16" t="str">
        <x:v>نحتاج متابعة طلبات أهالي القرى التي تتكرر كل موسم أمطار بشكل استباقي.</x:v>
      </x:c>
      <x:c r="C55" s="16" t="str">
        <x:v>زيارة محافظة</x:v>
      </x:c>
      <x:c r="D55" s="16" t="str">
        <x:v>إحدى القرى التابعة للمنطقة</x:v>
      </x:c>
      <x:c r="E55" s="16" t="str">
        <x:v>أهالي قرية</x:v>
      </x:c>
      <x:c r="F55" s="16" t="str">
        <x:v>المحافظات والمراكز والقرى والهجر</x:v>
      </x:c>
      <x:c r="G55" s="16" t="str">
        <x:v>ملاحظة</x:v>
      </x:c>
      <x:c r="H55" s="16" t="str">
        <x:v>سلبي</x:v>
      </x:c>
      <x:c r="I55" s="16" t="str">
        <x:v>ملاحظات موسمية</x:v>
      </x:c>
      <x:c r="J55" s="16" t="str">
        <x:v>عالي</x:v>
      </x:c>
      <x:c r="K55" s="14" t="n">
        <x:v>3</x:v>
      </x:c>
      <x:c r="L55" s="16" t="str">
        <x:v>إدارة المتابعة</x:v>
      </x:c>
      <x:c r="M55" s="16" t="str">
        <x:v>جهات متعددة</x:v>
      </x:c>
      <x:c r="N55" s="16" t="str">
        <x:v>إنشاء قائمة متابعة موسمية وتصعيدها مبكرًا</x:v>
      </x:c>
      <x:c r="O55" s="16" t="str">
        <x:v>تصنيف الموضوع: ملاحظات موسمية؛ المشاعر: سلبي؛ الأولوية: عالي؛ الإجراء المقترح: إنشاء قائمة متابعة موسمية وتصعيدها مبكرًا</x:v>
      </x:c>
      <x:c r="P55" s="16" t="str">
        <x:v>نعم</x:v>
      </x:c>
      <x:c r="Q55" s="16" t="str">
        <x:v>نعم</x:v>
      </x:c>
      <x:c r="R55" s="16" t="str">
        <x:v>train</x:v>
      </x:c>
    </x:row>
    <x:row r="56" ht="48" customHeight="1">
      <x:c r="A56" s="14" t="str">
        <x:v>NB-055</x:v>
      </x:c>
      <x:c r="B56" s="16" t="str">
        <x:v>الردود على ملاحظات المركز تصل متأخرة ولا يتم توثيقها في سجل موحد.</x:v>
      </x:c>
      <x:c r="C56" s="16" t="str">
        <x:v>زيارة محافظة</x:v>
      </x:c>
      <x:c r="D56" s="16" t="str">
        <x:v>مركز تابع للمنطقة</x:v>
      </x:c>
      <x:c r="E56" s="16" t="str">
        <x:v>مندوب جهة</x:v>
      </x:c>
      <x:c r="F56" s="16" t="str">
        <x:v>المحافظات والمراكز والقرى والهجر</x:v>
      </x:c>
      <x:c r="G56" s="16" t="str">
        <x:v>شكوى</x:v>
      </x:c>
      <x:c r="H56" s="16" t="str">
        <x:v>سلبي</x:v>
      </x:c>
      <x:c r="I56" s="16" t="str">
        <x:v>توثيق ردود المراكز</x:v>
      </x:c>
      <x:c r="J56" s="16" t="str">
        <x:v>متوسط</x:v>
      </x:c>
      <x:c r="K56" s="14" t="n">
        <x:v>2</x:v>
      </x:c>
      <x:c r="L56" s="16" t="str">
        <x:v>المحافظة/المركز</x:v>
      </x:c>
      <x:c r="M56" s="16" t="str">
        <x:v>داخل الإمارة</x:v>
      </x:c>
      <x:c r="N56" s="16" t="str">
        <x:v>توحيد سجل الردود والمتابعة</x:v>
      </x:c>
      <x:c r="O56" s="16" t="str">
        <x:v>تصنيف الموضوع: توثيق ردود المراكز؛ المشاعر: سلبي؛ الأولوية: متوسط؛ الإجراء المقترح: توحيد سجل الردود والمتابعة</x:v>
      </x:c>
      <x:c r="P56" s="16" t="str">
        <x:v>نعم</x:v>
      </x:c>
      <x:c r="Q56" s="16" t="str">
        <x:v>نعم</x:v>
      </x:c>
      <x:c r="R56" s="16" t="str">
        <x:v>train</x:v>
      </x:c>
    </x:row>
    <x:row r="57" ht="48" customHeight="1">
      <x:c r="A57" s="14" t="str">
        <x:v>NB-056</x:v>
      </x:c>
      <x:c r="B57" s="16" t="str">
        <x:v>أرغب في رفع ملاحظة تخص مركزًا محددًا، لكن النموذج لا يحتوي قائمة للمراكز والهجر.</x:v>
      </x:c>
      <x:c r="C57" s="16" t="str">
        <x:v>بوابة الإمارة</x:v>
      </x:c>
      <x:c r="D57" s="16" t="str">
        <x:v>عرعر</x:v>
      </x:c>
      <x:c r="E57" s="16" t="str">
        <x:v>مواطن</x:v>
      </x:c>
      <x:c r="F57" s="16" t="str">
        <x:v>المحافظات والمراكز والقرى والهجر</x:v>
      </x:c>
      <x:c r="G57" s="16" t="str">
        <x:v>شكوى</x:v>
      </x:c>
      <x:c r="H57" s="16" t="str">
        <x:v>سلبي</x:v>
      </x:c>
      <x:c r="I57" s="16" t="str">
        <x:v>قائمة المراكز والهجر</x:v>
      </x:c>
      <x:c r="J57" s="16" t="str">
        <x:v>منخفض</x:v>
      </x:c>
      <x:c r="K57" s="14" t="n">
        <x:v>1</x:v>
      </x:c>
      <x:c r="L57" s="16" t="str">
        <x:v>إدارة تقنية المعلومات</x:v>
      </x:c>
      <x:c r="M57" s="16" t="str">
        <x:v>داخل الإمارة</x:v>
      </x:c>
      <x:c r="N57" s="16" t="str">
        <x:v>إضافة قوائم جغرافية للنموذج</x:v>
      </x:c>
      <x:c r="O57" s="16" t="str">
        <x:v>تصنيف الموضوع: قائمة المراكز والهجر؛ المشاعر: سلبي؛ الأولوية: منخفض؛ الإجراء المقترح: إضافة قوائم جغرافية للنموذج</x:v>
      </x:c>
      <x:c r="P57" s="16" t="str">
        <x:v>نعم</x:v>
      </x:c>
      <x:c r="Q57" s="16" t="str">
        <x:v>نعم</x:v>
      </x:c>
      <x:c r="R57" s="16" t="str">
        <x:v>train</x:v>
      </x:c>
    </x:row>
    <x:row r="58" ht="48" customHeight="1">
      <x:c r="A58" s="14" t="str">
        <x:v>NB-057</x:v>
      </x:c>
      <x:c r="B58" s="16" t="str">
        <x:v>توجد مطالبات متكررة من الأهالي حول خدمة محددة، ونحتاج معرفة هل سبق تسجيلها في النظام.</x:v>
      </x:c>
      <x:c r="C58" s="16" t="str">
        <x:v>زيارة محافظة</x:v>
      </x:c>
      <x:c r="D58" s="16" t="str">
        <x:v>طريف</x:v>
      </x:c>
      <x:c r="E58" s="16" t="str">
        <x:v>مندوب جهة</x:v>
      </x:c>
      <x:c r="F58" s="16" t="str">
        <x:v>المحافظات والمراكز والقرى والهجر</x:v>
      </x:c>
      <x:c r="G58" s="16" t="str">
        <x:v>استفسار</x:v>
      </x:c>
      <x:c r="H58" s="16" t="str">
        <x:v>محايد</x:v>
      </x:c>
      <x:c r="I58" s="16" t="str">
        <x:v>اكتشاف التكرار</x:v>
      </x:c>
      <x:c r="J58" s="16" t="str">
        <x:v>متوسط</x:v>
      </x:c>
      <x:c r="K58" s="14" t="n">
        <x:v>2</x:v>
      </x:c>
      <x:c r="L58" s="16" t="str">
        <x:v>إدارة الجودة</x:v>
      </x:c>
      <x:c r="M58" s="16" t="str">
        <x:v>داخل الإمارة</x:v>
      </x:c>
      <x:c r="N58" s="16" t="str">
        <x:v>استخدام كشف التكرار وربط الطلبات المتشابهة</x:v>
      </x:c>
      <x:c r="O58" s="16" t="str">
        <x:v>تصنيف الموضوع: اكتشاف التكرار؛ المشاعر: محايد؛ الأولوية: متوسط؛ الإجراء المقترح: استخدام كشف التكرار وربط الطلبات المتشابهة</x:v>
      </x:c>
      <x:c r="P58" s="16" t="str">
        <x:v>نعم</x:v>
      </x:c>
      <x:c r="Q58" s="16" t="str">
        <x:v>نعم</x:v>
      </x:c>
      <x:c r="R58" s="16" t="str">
        <x:v>train</x:v>
      </x:c>
    </x:row>
    <x:row r="59" ht="48" customHeight="1">
      <x:c r="A59" s="14" t="str">
        <x:v>NB-058</x:v>
      </x:c>
      <x:c r="B59" s="16" t="str">
        <x:v>أهالي إحدى القرى يشكرون المحافظة على سرعة إيصال ملاحظتهم للإمارة ومتابعتها.</x:v>
      </x:c>
      <x:c r="C59" s="16" t="str">
        <x:v>زيارة محافظة</x:v>
      </x:c>
      <x:c r="D59" s="16" t="str">
        <x:v>إحدى القرى التابعة للمنطقة</x:v>
      </x:c>
      <x:c r="E59" s="16" t="str">
        <x:v>أهالي قرية</x:v>
      </x:c>
      <x:c r="F59" s="16" t="str">
        <x:v>المحافظات والمراكز والقرى والهجر</x:v>
      </x:c>
      <x:c r="G59" s="16" t="str">
        <x:v>شكر</x:v>
      </x:c>
      <x:c r="H59" s="16" t="str">
        <x:v>إيجابي</x:v>
      </x:c>
      <x:c r="I59" s="16" t="str">
        <x:v>متابعة محافظة ناجحة</x:v>
      </x:c>
      <x:c r="J59" s="16" t="str">
        <x:v>منخفض</x:v>
      </x:c>
      <x:c r="K59" s="14" t="n">
        <x:v>1</x:v>
      </x:c>
      <x:c r="L59" s="16" t="str">
        <x:v>المحافظة/المركز</x:v>
      </x:c>
      <x:c r="M59" s="16" t="str">
        <x:v>داخل الإمارة</x:v>
      </x:c>
      <x:c r="N59" s="16" t="str">
        <x:v>توثيق رضا الأهالي</x:v>
      </x:c>
      <x:c r="O59" s="16" t="str">
        <x:v>تصنيف الموضوع: متابعة محافظة ناجحة؛ المشاعر: إيجابي؛ الأولوية: منخفض؛ الإجراء المقترح: توثيق رضا الأهالي</x:v>
      </x:c>
      <x:c r="P59" s="16" t="str">
        <x:v>نعم</x:v>
      </x:c>
      <x:c r="Q59" s="16" t="str">
        <x:v>نعم</x:v>
      </x:c>
      <x:c r="R59" s="16" t="str">
        <x:v>train</x:v>
      </x:c>
    </x:row>
    <x:row r="60" ht="48" customHeight="1">
      <x:c r="A60" s="14" t="str">
        <x:v>NB-059</x:v>
      </x:c>
      <x:c r="B60" s="16" t="str">
        <x:v>لا نعرف آلية تصعيد الملاحظات التي لا تغلق من الجهة المختصة بعد إحالتها من المحافظة.</x:v>
      </x:c>
      <x:c r="C60" s="16" t="str">
        <x:v>اتصال هاتفي</x:v>
      </x:c>
      <x:c r="D60" s="16" t="str">
        <x:v>رفحاء</x:v>
      </x:c>
      <x:c r="E60" s="16" t="str">
        <x:v>أهالي مركز</x:v>
      </x:c>
      <x:c r="F60" s="16" t="str">
        <x:v>المحافظات والمراكز والقرى والهجر</x:v>
      </x:c>
      <x:c r="G60" s="16" t="str">
        <x:v>استفسار</x:v>
      </x:c>
      <x:c r="H60" s="16" t="str">
        <x:v>محايد</x:v>
      </x:c>
      <x:c r="I60" s="16" t="str">
        <x:v>تصعيد بلاغات المحافظات</x:v>
      </x:c>
      <x:c r="J60" s="16" t="str">
        <x:v>متوسط</x:v>
      </x:c>
      <x:c r="K60" s="14" t="n">
        <x:v>2</x:v>
      </x:c>
      <x:c r="L60" s="16" t="str">
        <x:v>إدارة المتابعة</x:v>
      </x:c>
      <x:c r="M60" s="16" t="str">
        <x:v>جهة خدمية خارجية</x:v>
      </x:c>
      <x:c r="N60" s="16" t="str">
        <x:v>توضيح مسار التصعيد وسقف المدة</x:v>
      </x:c>
      <x:c r="O60" s="16" t="str">
        <x:v>تصنيف الموضوع: تصعيد بلاغات المحافظات؛ المشاعر: محايد؛ الأولوية: متوسط؛ الإجراء المقترح: توضيح مسار التصعيد وسقف المدة</x:v>
      </x:c>
      <x:c r="P60" s="16" t="str">
        <x:v>نعم</x:v>
      </x:c>
      <x:c r="Q60" s="16" t="str">
        <x:v>نعم</x:v>
      </x:c>
      <x:c r="R60" s="16" t="str">
        <x:v>train</x:v>
      </x:c>
    </x:row>
    <x:row r="61" ht="48" customHeight="1">
      <x:c r="A61" s="14" t="str">
        <x:v>NB-060</x:v>
      </x:c>
      <x:c r="B61" s="16" t="str">
        <x:v>توجد حاجة لتقرير شهري يوضح أكثر الموضوعات تكرارًا في كل محافظة.</x:v>
      </x:c>
      <x:c r="C61" s="16" t="str">
        <x:v>البريد الإلكتروني</x:v>
      </x:c>
      <x:c r="D61" s="16" t="str">
        <x:v>عرعر</x:v>
      </x:c>
      <x:c r="E61" s="16" t="str">
        <x:v>موظف داخلي</x:v>
      </x:c>
      <x:c r="F61" s="16" t="str">
        <x:v>المحافظات والمراكز والقرى والهجر</x:v>
      </x:c>
      <x:c r="G61" s="16" t="str">
        <x:v>اقتراح</x:v>
      </x:c>
      <x:c r="H61" s="16" t="str">
        <x:v>محايد</x:v>
      </x:c>
      <x:c r="I61" s="16" t="str">
        <x:v>تقرير شهري جغرافي</x:v>
      </x:c>
      <x:c r="J61" s="16" t="str">
        <x:v>منخفض</x:v>
      </x:c>
      <x:c r="K61" s="14" t="n">
        <x:v>1</x:v>
      </x:c>
      <x:c r="L61" s="16" t="str">
        <x:v>إدارة الجودة</x:v>
      </x:c>
      <x:c r="M61" s="16" t="str">
        <x:v>داخل الإمارة</x:v>
      </x:c>
      <x:c r="N61" s="16" t="str">
        <x:v>إصدار تقرير Topic Modeling حسب المحافظة</x:v>
      </x:c>
      <x:c r="O61" s="16" t="str">
        <x:v>تصنيف الموضوع: تقرير شهري جغرافي؛ المشاعر: محايد؛ الأولوية: منخفض؛ الإجراء المقترح: إصدار تقرير Topic Modeling حسب المحافظة</x:v>
      </x:c>
      <x:c r="P61" s="16" t="str">
        <x:v>نعم</x:v>
      </x:c>
      <x:c r="Q61" s="16" t="str">
        <x:v>نعم</x:v>
      </x:c>
      <x:c r="R61" s="16" t="str">
        <x:v>train</x:v>
      </x:c>
    </x:row>
    <x:row r="62" ht="48" customHeight="1">
      <x:c r="A62" s="14" t="str">
        <x:v>NB-061</x:v>
      </x:c>
      <x:c r="B62" s="16" t="str">
        <x:v>ملاحظات الأهالي تصل عبر أكثر من قناة ولا يتم دمجها عند وجود نفس الموضوع.</x:v>
      </x:c>
      <x:c r="C62" s="16" t="str">
        <x:v>تواصل اجتماعي</x:v>
      </x:c>
      <x:c r="D62" s="16" t="str">
        <x:v>طريف</x:v>
      </x:c>
      <x:c r="E62" s="16" t="str">
        <x:v>أهالي محافظة</x:v>
      </x:c>
      <x:c r="F62" s="16" t="str">
        <x:v>المحافظات والمراكز والقرى والهجر</x:v>
      </x:c>
      <x:c r="G62" s="16" t="str">
        <x:v>شكوى</x:v>
      </x:c>
      <x:c r="H62" s="16" t="str">
        <x:v>سلبي</x:v>
      </x:c>
      <x:c r="I62" s="16" t="str">
        <x:v>تعدد القنوات لنفس الموضوع</x:v>
      </x:c>
      <x:c r="J62" s="16" t="str">
        <x:v>متوسط</x:v>
      </x:c>
      <x:c r="K62" s="14" t="n">
        <x:v>2</x:v>
      </x:c>
      <x:c r="L62" s="16" t="str">
        <x:v>إدارة تجربة المستفيد</x:v>
      </x:c>
      <x:c r="M62" s="16" t="str">
        <x:v>داخل الإمارة</x:v>
      </x:c>
      <x:c r="N62" s="16" t="str">
        <x:v>دمج الملاحظات المتشابهة وإزالة التكرار</x:v>
      </x:c>
      <x:c r="O62" s="16" t="str">
        <x:v>تصنيف الموضوع: تعدد القنوات لنفس الموضوع؛ المشاعر: سلبي؛ الأولوية: متوسط؛ الإجراء المقترح: دمج الملاحظات المتشابهة وإزالة التكرار</x:v>
      </x:c>
      <x:c r="P62" s="16" t="str">
        <x:v>نعم</x:v>
      </x:c>
      <x:c r="Q62" s="16" t="str">
        <x:v>نعم</x:v>
      </x:c>
      <x:c r="R62" s="16" t="str">
        <x:v>train</x:v>
      </x:c>
    </x:row>
    <x:row r="63" ht="48" customHeight="1">
      <x:c r="A63" s="14" t="str">
        <x:v>NB-062</x:v>
      </x:c>
      <x:c r="B63" s="16" t="str">
        <x:v>نحتاج ربط ملاحظات المراكز بلوحة متابعة لقياس زمن الإغلاق حسب النطاق الجغرافي.</x:v>
      </x:c>
      <x:c r="C63" s="16" t="str">
        <x:v>البريد الإلكتروني</x:v>
      </x:c>
      <x:c r="D63" s="16" t="str">
        <x:v>عرعر</x:v>
      </x:c>
      <x:c r="E63" s="16" t="str">
        <x:v>موظف داخلي</x:v>
      </x:c>
      <x:c r="F63" s="16" t="str">
        <x:v>المحافظات والمراكز والقرى والهجر</x:v>
      </x:c>
      <x:c r="G63" s="16" t="str">
        <x:v>اقتراح</x:v>
      </x:c>
      <x:c r="H63" s="16" t="str">
        <x:v>محايد</x:v>
      </x:c>
      <x:c r="I63" s="16" t="str">
        <x:v>قياس زمن الإغلاق جغرافيًا</x:v>
      </x:c>
      <x:c r="J63" s="16" t="str">
        <x:v>منخفض</x:v>
      </x:c>
      <x:c r="K63" s="14" t="n">
        <x:v>1</x:v>
      </x:c>
      <x:c r="L63" s="16" t="str">
        <x:v>إدارة الجودة</x:v>
      </x:c>
      <x:c r="M63" s="16" t="str">
        <x:v>داخل الإمارة</x:v>
      </x:c>
      <x:c r="N63" s="16" t="str">
        <x:v>تطوير مؤشر إغلاق حسب المحافظة/المركز</x:v>
      </x:c>
      <x:c r="O63" s="16" t="str">
        <x:v>تصنيف الموضوع: قياس زمن الإغلاق جغرافيًا؛ المشاعر: محايد؛ الأولوية: منخفض؛ الإجراء المقترح: تطوير مؤشر إغلاق حسب المحافظة/المركز</x:v>
      </x:c>
      <x:c r="P63" s="16" t="str">
        <x:v>نعم</x:v>
      </x:c>
      <x:c r="Q63" s="16" t="str">
        <x:v>نعم</x:v>
      </x:c>
      <x:c r="R63" s="16" t="str">
        <x:v>train</x:v>
      </x:c>
    </x:row>
    <x:row r="64" ht="48" customHeight="1">
      <x:c r="A64" s="14" t="str">
        <x:v>NB-063</x:v>
      </x:c>
      <x:c r="B64" s="16" t="str">
        <x:v>تأخر الرد على ملاحظة من هجرة بعيدة يسبب اضطرار الأهالي للحضور للمحافظة أكثر من مرة.</x:v>
      </x:c>
      <x:c r="C64" s="16" t="str">
        <x:v>زيارة محافظة</x:v>
      </x:c>
      <x:c r="D64" s="16" t="str">
        <x:v>هجرة تابعة للمنطقة</x:v>
      </x:c>
      <x:c r="E64" s="16" t="str">
        <x:v>أهالي هجرة</x:v>
      </x:c>
      <x:c r="F64" s="16" t="str">
        <x:v>المحافظات والمراكز والقرى والهجر</x:v>
      </x:c>
      <x:c r="G64" s="16" t="str">
        <x:v>شكوى</x:v>
      </x:c>
      <x:c r="H64" s="16" t="str">
        <x:v>سلبي</x:v>
      </x:c>
      <x:c r="I64" s="16" t="str">
        <x:v>تأخر رد للهجر</x:v>
      </x:c>
      <x:c r="J64" s="16" t="str">
        <x:v>متوسط</x:v>
      </x:c>
      <x:c r="K64" s="14" t="n">
        <x:v>2</x:v>
      </x:c>
      <x:c r="L64" s="16" t="str">
        <x:v>المحافظة/المركز</x:v>
      </x:c>
      <x:c r="M64" s="16" t="str">
        <x:v>داخل الإمارة</x:v>
      </x:c>
      <x:c r="N64" s="16" t="str">
        <x:v>تفعيل متابعة رقمية وتقليل الحاجة للحضور</x:v>
      </x:c>
      <x:c r="O64" s="16" t="str">
        <x:v>تصنيف الموضوع: تأخر رد للهجر؛ المشاعر: سلبي؛ الأولوية: متوسط؛ الإجراء المقترح: تفعيل متابعة رقمية وتقليل الحاجة للحضور</x:v>
      </x:c>
      <x:c r="P64" s="16" t="str">
        <x:v>نعم</x:v>
      </x:c>
      <x:c r="Q64" s="16" t="str">
        <x:v>نعم</x:v>
      </x:c>
      <x:c r="R64" s="16" t="str">
        <x:v>train</x:v>
      </x:c>
    </x:row>
    <x:row r="65" ht="48" customHeight="1">
      <x:c r="A65" s="14" t="str">
        <x:v>NB-064</x:v>
      </x:c>
      <x:c r="B65" s="16" t="str">
        <x:v>المنصة لا تحفظ البيانات بعد تعبئة النموذج، وأضطر لإعادة الطلب من البداية.</x:v>
      </x:c>
      <x:c r="C65" s="16" t="str">
        <x:v>بوابة الإمارة</x:v>
      </x:c>
      <x:c r="D65" s="16" t="str">
        <x:v>عرعر</x:v>
      </x:c>
      <x:c r="E65" s="16" t="str">
        <x:v>مواطن</x:v>
      </x:c>
      <x:c r="F65" s="16" t="str">
        <x:v>القنوات الرقمية والنماذج الإلكترونية</x:v>
      </x:c>
      <x:c r="G65" s="16" t="str">
        <x:v>شكوى</x:v>
      </x:c>
      <x:c r="H65" s="16" t="str">
        <x:v>سلبي</x:v>
      </x:c>
      <x:c r="I65" s="16" t="str">
        <x:v>فقدان بيانات النموذج</x:v>
      </x:c>
      <x:c r="J65" s="16" t="str">
        <x:v>متوسط</x:v>
      </x:c>
      <x:c r="K65" s="14" t="n">
        <x:v>2</x:v>
      </x:c>
      <x:c r="L65" s="16" t="str">
        <x:v>إدارة تقنية المعلومات</x:v>
      </x:c>
      <x:c r="M65" s="16" t="str">
        <x:v>داخل الإمارة</x:v>
      </x:c>
      <x:c r="N65" s="16" t="str">
        <x:v>فحص حفظ المسودات ومعالجة الخلل</x:v>
      </x:c>
      <x:c r="O65" s="16" t="str">
        <x:v>تصنيف الموضوع: فقدان بيانات النموذج؛ المشاعر: سلبي؛ الأولوية: متوسط؛ الإجراء المقترح: فحص حفظ المسودات ومعالجة الخلل</x:v>
      </x:c>
      <x:c r="P65" s="16" t="str">
        <x:v>نعم</x:v>
      </x:c>
      <x:c r="Q65" s="16" t="str">
        <x:v>نعم</x:v>
      </x:c>
      <x:c r="R65" s="16" t="str">
        <x:v>train</x:v>
      </x:c>
    </x:row>
    <x:row r="66" ht="48" customHeight="1">
      <x:c r="A66" s="14" t="str">
        <x:v>NB-065</x:v>
      </x:c>
      <x:c r="B66" s="16" t="str">
        <x:v>المنصة لا توضح سبب رفض الطلب، فقط تظهر الحالة مغلق.</x:v>
      </x:c>
      <x:c r="C66" s="16" t="str">
        <x:v>بوابة الإمارة</x:v>
      </x:c>
      <x:c r="D66" s="16" t="str">
        <x:v>رفحاء</x:v>
      </x:c>
      <x:c r="E66" s="16" t="str">
        <x:v>مواطن</x:v>
      </x:c>
      <x:c r="F66" s="16" t="str">
        <x:v>القنوات الرقمية والنماذج الإلكترونية</x:v>
      </x:c>
      <x:c r="G66" s="16" t="str">
        <x:v>شكوى</x:v>
      </x:c>
      <x:c r="H66" s="16" t="str">
        <x:v>سلبي</x:v>
      </x:c>
      <x:c r="I66" s="16" t="str">
        <x:v>رسالة إغلاق غير واضحة</x:v>
      </x:c>
      <x:c r="J66" s="16" t="str">
        <x:v>متوسط</x:v>
      </x:c>
      <x:c r="K66" s="14" t="n">
        <x:v>2</x:v>
      </x:c>
      <x:c r="L66" s="16" t="str">
        <x:v>إدارة تقنية المعلومات</x:v>
      </x:c>
      <x:c r="M66" s="16" t="str">
        <x:v>داخل الإمارة</x:v>
      </x:c>
      <x:c r="N66" s="16" t="str">
        <x:v>تحسين رسائل الرفض والإغلاق</x:v>
      </x:c>
      <x:c r="O66" s="16" t="str">
        <x:v>تصنيف الموضوع: رسالة إغلاق غير واضحة؛ المشاعر: سلبي؛ الأولوية: متوسط؛ الإجراء المقترح: تحسين رسائل الرفض والإغلاق</x:v>
      </x:c>
      <x:c r="P66" s="16" t="str">
        <x:v>نعم</x:v>
      </x:c>
      <x:c r="Q66" s="16" t="str">
        <x:v>نعم</x:v>
      </x:c>
      <x:c r="R66" s="16" t="str">
        <x:v>train</x:v>
      </x:c>
    </x:row>
    <x:row r="67" ht="48" customHeight="1">
      <x:c r="A67" s="14" t="str">
        <x:v>NB-066</x:v>
      </x:c>
      <x:c r="B67" s="16" t="str">
        <x:v>لا تصلني رسائل التحقق عند محاولة الدخول للبوابة في بعض الأوقات.</x:v>
      </x:c>
      <x:c r="C67" s="16" t="str">
        <x:v>بوابة الإمارة</x:v>
      </x:c>
      <x:c r="D67" s="16" t="str">
        <x:v>طريف</x:v>
      </x:c>
      <x:c r="E67" s="16" t="str">
        <x:v>مواطن</x:v>
      </x:c>
      <x:c r="F67" s="16" t="str">
        <x:v>القنوات الرقمية والنماذج الإلكترونية</x:v>
      </x:c>
      <x:c r="G67" s="16" t="str">
        <x:v>شكوى</x:v>
      </x:c>
      <x:c r="H67" s="16" t="str">
        <x:v>سلبي</x:v>
      </x:c>
      <x:c r="I67" s="16" t="str">
        <x:v>رسائل تحقق</x:v>
      </x:c>
      <x:c r="J67" s="16" t="str">
        <x:v>متوسط</x:v>
      </x:c>
      <x:c r="K67" s="14" t="n">
        <x:v>2</x:v>
      </x:c>
      <x:c r="L67" s="16" t="str">
        <x:v>إدارة تقنية المعلومات</x:v>
      </x:c>
      <x:c r="M67" s="16" t="str">
        <x:v>داخل الإمارة/مزود خدمة</x:v>
      </x:c>
      <x:c r="N67" s="16" t="str">
        <x:v>فحص مزود الرسائل وتوثيق الأعطال</x:v>
      </x:c>
      <x:c r="O67" s="16" t="str">
        <x:v>تصنيف الموضوع: رسائل تحقق؛ المشاعر: سلبي؛ الأولوية: متوسط؛ الإجراء المقترح: فحص مزود الرسائل وتوثيق الأعطال</x:v>
      </x:c>
      <x:c r="P67" s="16" t="str">
        <x:v>نعم</x:v>
      </x:c>
      <x:c r="Q67" s="16" t="str">
        <x:v>نعم</x:v>
      </x:c>
      <x:c r="R67" s="16" t="str">
        <x:v>train</x:v>
      </x:c>
    </x:row>
    <x:row r="68" ht="48" customHeight="1">
      <x:c r="A68" s="14" t="str">
        <x:v>NB-067</x:v>
      </x:c>
      <x:c r="B68" s="16" t="str">
        <x:v>النموذج الإلكتروني لا يقبل بعض المرفقات رغم أنها بصيغة PDF.</x:v>
      </x:c>
      <x:c r="C68" s="16" t="str">
        <x:v>بوابة الإمارة</x:v>
      </x:c>
      <x:c r="D68" s="16" t="str">
        <x:v>عرعر</x:v>
      </x:c>
      <x:c r="E68" s="16" t="str">
        <x:v>مقيم</x:v>
      </x:c>
      <x:c r="F68" s="16" t="str">
        <x:v>القنوات الرقمية والنماذج الإلكترونية</x:v>
      </x:c>
      <x:c r="G68" s="16" t="str">
        <x:v>شكوى</x:v>
      </x:c>
      <x:c r="H68" s="16" t="str">
        <x:v>سلبي</x:v>
      </x:c>
      <x:c r="I68" s="16" t="str">
        <x:v>رفع المرفقات</x:v>
      </x:c>
      <x:c r="J68" s="16" t="str">
        <x:v>متوسط</x:v>
      </x:c>
      <x:c r="K68" s="14" t="n">
        <x:v>2</x:v>
      </x:c>
      <x:c r="L68" s="16" t="str">
        <x:v>إدارة تقنية المعلومات</x:v>
      </x:c>
      <x:c r="M68" s="16" t="str">
        <x:v>داخل الإمارة</x:v>
      </x:c>
      <x:c r="N68" s="16" t="str">
        <x:v>مراجعة قيود حجم وصيغة المرفقات</x:v>
      </x:c>
      <x:c r="O68" s="16" t="str">
        <x:v>تصنيف الموضوع: رفع المرفقات؛ المشاعر: سلبي؛ الأولوية: متوسط؛ الإجراء المقترح: مراجعة قيود حجم وصيغة المرفقات</x:v>
      </x:c>
      <x:c r="P68" s="16" t="str">
        <x:v>نعم</x:v>
      </x:c>
      <x:c r="Q68" s="16" t="str">
        <x:v>نعم</x:v>
      </x:c>
      <x:c r="R68" s="16" t="str">
        <x:v>train</x:v>
      </x:c>
    </x:row>
    <x:row r="69" ht="48" customHeight="1">
      <x:c r="A69" s="14" t="str">
        <x:v>NB-068</x:v>
      </x:c>
      <x:c r="B69" s="16" t="str">
        <x:v>أحتاج أن تكون التعليمات داخل النموذج أبسط، خصوصًا في خانة وصف الطلب.</x:v>
      </x:c>
      <x:c r="C69" s="16" t="str">
        <x:v>بوابة الإمارة</x:v>
      </x:c>
      <x:c r="D69" s="16" t="str">
        <x:v>رفحاء</x:v>
      </x:c>
      <x:c r="E69" s="16" t="str">
        <x:v>مواطن</x:v>
      </x:c>
      <x:c r="F69" s="16" t="str">
        <x:v>القنوات الرقمية والنماذج الإلكترونية</x:v>
      </x:c>
      <x:c r="G69" s="16" t="str">
        <x:v>اقتراح</x:v>
      </x:c>
      <x:c r="H69" s="16" t="str">
        <x:v>محايد</x:v>
      </x:c>
      <x:c r="I69" s="16" t="str">
        <x:v>تحسين إرشادات النموذج</x:v>
      </x:c>
      <x:c r="J69" s="16" t="str">
        <x:v>منخفض</x:v>
      </x:c>
      <x:c r="K69" s="14" t="n">
        <x:v>1</x:v>
      </x:c>
      <x:c r="L69" s="16" t="str">
        <x:v>إدارة تجربة المستفيد</x:v>
      </x:c>
      <x:c r="M69" s="16" t="str">
        <x:v>داخل الإمارة</x:v>
      </x:c>
      <x:c r="N69" s="16" t="str">
        <x:v>إعادة صياغة التعليمات داخل النموذج</x:v>
      </x:c>
      <x:c r="O69" s="16" t="str">
        <x:v>تصنيف الموضوع: تحسين إرشادات النموذج؛ المشاعر: محايد؛ الأولوية: منخفض؛ الإجراء المقترح: إعادة صياغة التعليمات داخل النموذج</x:v>
      </x:c>
      <x:c r="P69" s="16" t="str">
        <x:v>نعم</x:v>
      </x:c>
      <x:c r="Q69" s="16" t="str">
        <x:v>نعم</x:v>
      </x:c>
      <x:c r="R69" s="16" t="str">
        <x:v>train</x:v>
      </x:c>
    </x:row>
    <x:row r="70" ht="48" customHeight="1">
      <x:c r="A70" s="14" t="str">
        <x:v>NB-069</x:v>
      </x:c>
      <x:c r="B70" s="16" t="str">
        <x:v>عند اختيار المحافظة في النموذج لا تظهر بعض المراكز التابعة لها.</x:v>
      </x:c>
      <x:c r="C70" s="16" t="str">
        <x:v>بوابة الإمارة</x:v>
      </x:c>
      <x:c r="D70" s="16" t="str">
        <x:v>العويقيلة</x:v>
      </x:c>
      <x:c r="E70" s="16" t="str">
        <x:v>أهالي مركز</x:v>
      </x:c>
      <x:c r="F70" s="16" t="str">
        <x:v>القنوات الرقمية والنماذج الإلكترونية</x:v>
      </x:c>
      <x:c r="G70" s="16" t="str">
        <x:v>شكوى</x:v>
      </x:c>
      <x:c r="H70" s="16" t="str">
        <x:v>سلبي</x:v>
      </x:c>
      <x:c r="I70" s="16" t="str">
        <x:v>قوائم منسدلة جغرافية</x:v>
      </x:c>
      <x:c r="J70" s="16" t="str">
        <x:v>منخفض</x:v>
      </x:c>
      <x:c r="K70" s="14" t="n">
        <x:v>1</x:v>
      </x:c>
      <x:c r="L70" s="16" t="str">
        <x:v>إدارة تقنية المعلومات</x:v>
      </x:c>
      <x:c r="M70" s="16" t="str">
        <x:v>داخل الإمارة</x:v>
      </x:c>
      <x:c r="N70" s="16" t="str">
        <x:v>تحديث قاموس المحافظات والمراكز</x:v>
      </x:c>
      <x:c r="O70" s="16" t="str">
        <x:v>تصنيف الموضوع: قوائم منسدلة جغرافية؛ المشاعر: سلبي؛ الأولوية: منخفض؛ الإجراء المقترح: تحديث قاموس المحافظات والمراكز</x:v>
      </x:c>
      <x:c r="P70" s="16" t="str">
        <x:v>نعم</x:v>
      </x:c>
      <x:c r="Q70" s="16" t="str">
        <x:v>نعم</x:v>
      </x:c>
      <x:c r="R70" s="16" t="str">
        <x:v>train</x:v>
      </x:c>
    </x:row>
    <x:row r="71" ht="48" customHeight="1">
      <x:c r="A71" s="14" t="str">
        <x:v>NB-070</x:v>
      </x:c>
      <x:c r="B71" s="16" t="str">
        <x:v>أقترح إضافة خيار تتبع الطلب من خلال رقم الجوال ورقم الطلب فقط.</x:v>
      </x:c>
      <x:c r="C71" s="16" t="str">
        <x:v>بوابة الإمارة</x:v>
      </x:c>
      <x:c r="D71" s="16" t="str">
        <x:v>عرعر</x:v>
      </x:c>
      <x:c r="E71" s="16" t="str">
        <x:v>مواطن</x:v>
      </x:c>
      <x:c r="F71" s="16" t="str">
        <x:v>القنوات الرقمية والنماذج الإلكترونية</x:v>
      </x:c>
      <x:c r="G71" s="16" t="str">
        <x:v>اقتراح</x:v>
      </x:c>
      <x:c r="H71" s="16" t="str">
        <x:v>محايد</x:v>
      </x:c>
      <x:c r="I71" s="16" t="str">
        <x:v>تتبع مبسط</x:v>
      </x:c>
      <x:c r="J71" s="16" t="str">
        <x:v>منخفض</x:v>
      </x:c>
      <x:c r="K71" s="14" t="n">
        <x:v>1</x:v>
      </x:c>
      <x:c r="L71" s="16" t="str">
        <x:v>إدارة تقنية المعلومات</x:v>
      </x:c>
      <x:c r="M71" s="16" t="str">
        <x:v>داخل الإمارة</x:v>
      </x:c>
      <x:c r="N71" s="16" t="str">
        <x:v>دراسة مسار تتبع مبسط للمستفيد</x:v>
      </x:c>
      <x:c r="O71" s="16" t="str">
        <x:v>تصنيف الموضوع: تتبع مبسط؛ المشاعر: محايد؛ الأولوية: منخفض؛ الإجراء المقترح: دراسة مسار تتبع مبسط للمستفيد</x:v>
      </x:c>
      <x:c r="P71" s="16" t="str">
        <x:v>نعم</x:v>
      </x:c>
      <x:c r="Q71" s="16" t="str">
        <x:v>نعم</x:v>
      </x:c>
      <x:c r="R71" s="16" t="str">
        <x:v>train</x:v>
      </x:c>
    </x:row>
    <x:row r="72" ht="48" customHeight="1">
      <x:c r="A72" s="14" t="str">
        <x:v>NB-071</x:v>
      </x:c>
      <x:c r="B72" s="16" t="str">
        <x:v>تظهر صفحة خطأ بعد إرسال النموذج ولا أعرف هل تم تسجيل الطلب أم لا.</x:v>
      </x:c>
      <x:c r="C72" s="16" t="str">
        <x:v>بوابة الإمارة</x:v>
      </x:c>
      <x:c r="D72" s="16" t="str">
        <x:v>طريف</x:v>
      </x:c>
      <x:c r="E72" s="16" t="str">
        <x:v>مواطن</x:v>
      </x:c>
      <x:c r="F72" s="16" t="str">
        <x:v>القنوات الرقمية والنماذج الإلكترونية</x:v>
      </x:c>
      <x:c r="G72" s="16" t="str">
        <x:v>شكوى</x:v>
      </x:c>
      <x:c r="H72" s="16" t="str">
        <x:v>سلبي</x:v>
      </x:c>
      <x:c r="I72" s="16" t="str">
        <x:v>خطأ بعد الإرسال</x:v>
      </x:c>
      <x:c r="J72" s="16" t="str">
        <x:v>متوسط</x:v>
      </x:c>
      <x:c r="K72" s="14" t="n">
        <x:v>2</x:v>
      </x:c>
      <x:c r="L72" s="16" t="str">
        <x:v>إدارة تقنية المعلومات</x:v>
      </x:c>
      <x:c r="M72" s="16" t="str">
        <x:v>داخل الإمارة</x:v>
      </x:c>
      <x:c r="N72" s="16" t="str">
        <x:v>فحص الخطأ وإرسال تأكيد عند الاستلام</x:v>
      </x:c>
      <x:c r="O72" s="16" t="str">
        <x:v>تصنيف الموضوع: خطأ بعد الإرسال؛ المشاعر: سلبي؛ الأولوية: متوسط؛ الإجراء المقترح: فحص الخطأ وإرسال تأكيد عند الاستلام</x:v>
      </x:c>
      <x:c r="P72" s="16" t="str">
        <x:v>نعم</x:v>
      </x:c>
      <x:c r="Q72" s="16" t="str">
        <x:v>نعم</x:v>
      </x:c>
      <x:c r="R72" s="16" t="str">
        <x:v>validation</x:v>
      </x:c>
    </x:row>
    <x:row r="73" ht="48" customHeight="1">
      <x:c r="A73" s="14" t="str">
        <x:v>NB-072</x:v>
      </x:c>
      <x:c r="B73" s="16" t="str">
        <x:v>البوابة واضحة وساعدتني في تقديم الطلب دون الحاجة للحضور.</x:v>
      </x:c>
      <x:c r="C73" s="16" t="str">
        <x:v>بوابة الإمارة</x:v>
      </x:c>
      <x:c r="D73" s="16" t="str">
        <x:v>رفحاء</x:v>
      </x:c>
      <x:c r="E73" s="16" t="str">
        <x:v>مواطن</x:v>
      </x:c>
      <x:c r="F73" s="16" t="str">
        <x:v>القنوات الرقمية والنماذج الإلكترونية</x:v>
      </x:c>
      <x:c r="G73" s="16" t="str">
        <x:v>شكر</x:v>
      </x:c>
      <x:c r="H73" s="16" t="str">
        <x:v>إيجابي</x:v>
      </x:c>
      <x:c r="I73" s="16" t="str">
        <x:v>سهولة استخدام القناة الرقمية</x:v>
      </x:c>
      <x:c r="J73" s="16" t="str">
        <x:v>منخفض</x:v>
      </x:c>
      <x:c r="K73" s="14" t="n">
        <x:v>1</x:v>
      </x:c>
      <x:c r="L73" s="16" t="str">
        <x:v>إدارة تجربة المستفيد</x:v>
      </x:c>
      <x:c r="M73" s="16" t="str">
        <x:v>داخل الإمارة</x:v>
      </x:c>
      <x:c r="N73" s="16" t="str">
        <x:v>توثيق رضا عن القناة الرقمية</x:v>
      </x:c>
      <x:c r="O73" s="16" t="str">
        <x:v>تصنيف الموضوع: سهولة استخدام القناة الرقمية؛ المشاعر: إيجابي؛ الأولوية: منخفض؛ الإجراء المقترح: توثيق رضا عن القناة الرقمية</x:v>
      </x:c>
      <x:c r="P73" s="16" t="str">
        <x:v>نعم</x:v>
      </x:c>
      <x:c r="Q73" s="16" t="str">
        <x:v>نعم</x:v>
      </x:c>
      <x:c r="R73" s="16" t="str">
        <x:v>validation</x:v>
      </x:c>
    </x:row>
    <x:row r="74" ht="48" customHeight="1">
      <x:c r="A74" s="14" t="str">
        <x:v>NB-073</x:v>
      </x:c>
      <x:c r="B74" s="16" t="str">
        <x:v>لا توجد صفحة موحدة توضح كل خدمات الإمارة الرقمية وروابطها.</x:v>
      </x:c>
      <x:c r="C74" s="16" t="str">
        <x:v>بوابة الإمارة</x:v>
      </x:c>
      <x:c r="D74" s="16" t="str">
        <x:v>عرعر</x:v>
      </x:c>
      <x:c r="E74" s="16" t="str">
        <x:v>مواطن</x:v>
      </x:c>
      <x:c r="F74" s="16" t="str">
        <x:v>القنوات الرقمية والنماذج الإلكترونية</x:v>
      </x:c>
      <x:c r="G74" s="16" t="str">
        <x:v>ملاحظة</x:v>
      </x:c>
      <x:c r="H74" s="16" t="str">
        <x:v>محايد</x:v>
      </x:c>
      <x:c r="I74" s="16" t="str">
        <x:v>دليل الخدمات الرقمية</x:v>
      </x:c>
      <x:c r="J74" s="16" t="str">
        <x:v>منخفض</x:v>
      </x:c>
      <x:c r="K74" s="14" t="n">
        <x:v>1</x:v>
      </x:c>
      <x:c r="L74" s="16" t="str">
        <x:v>إدارة تقنية المعلومات</x:v>
      </x:c>
      <x:c r="M74" s="16" t="str">
        <x:v>داخل الإمارة</x:v>
      </x:c>
      <x:c r="N74" s="16" t="str">
        <x:v>إنشاء دليل خدمات موحد</x:v>
      </x:c>
      <x:c r="O74" s="16" t="str">
        <x:v>تصنيف الموضوع: دليل الخدمات الرقمية؛ المشاعر: محايد؛ الأولوية: منخفض؛ الإجراء المقترح: إنشاء دليل خدمات موحد</x:v>
      </x:c>
      <x:c r="P74" s="16" t="str">
        <x:v>نعم</x:v>
      </x:c>
      <x:c r="Q74" s="16" t="str">
        <x:v>نعم</x:v>
      </x:c>
      <x:c r="R74" s="16" t="str">
        <x:v>validation</x:v>
      </x:c>
    </x:row>
    <x:row r="75" ht="48" customHeight="1">
      <x:c r="A75" s="14" t="str">
        <x:v>NB-074</x:v>
      </x:c>
      <x:c r="B75" s="16" t="str">
        <x:v>أحتاج معرفة المستندات المطلوبة لطلب مقابلة المسؤول قبل الحضور للمركز.</x:v>
      </x:c>
      <x:c r="C75" s="16" t="str">
        <x:v>اتصال هاتفي</x:v>
      </x:c>
      <x:c r="D75" s="16" t="str">
        <x:v>عرعر</x:v>
      </x:c>
      <x:c r="E75" s="16" t="str">
        <x:v>مواطن</x:v>
      </x:c>
      <x:c r="F75" s="16" t="str">
        <x:v>الاستفسارات عن المتطلبات والإجراءات</x:v>
      </x:c>
      <x:c r="G75" s="16" t="str">
        <x:v>استفسار</x:v>
      </x:c>
      <x:c r="H75" s="16" t="str">
        <x:v>محايد</x:v>
      </x:c>
      <x:c r="I75" s="16" t="str">
        <x:v>متطلبات طلب مقابلة</x:v>
      </x:c>
      <x:c r="J75" s="16" t="str">
        <x:v>منخفض</x:v>
      </x:c>
      <x:c r="K75" s="14" t="n">
        <x:v>1</x:v>
      </x:c>
      <x:c r="L75" s="16" t="str">
        <x:v>المركز الشامل</x:v>
      </x:c>
      <x:c r="M75" s="16" t="str">
        <x:v>داخل الإمارة</x:v>
      </x:c>
      <x:c r="N75" s="16" t="str">
        <x:v>إرسال قائمة المتطلبات</x:v>
      </x:c>
      <x:c r="O75" s="16" t="str">
        <x:v>تصنيف الموضوع: متطلبات طلب مقابلة؛ المشاعر: محايد؛ الأولوية: منخفض؛ الإجراء المقترح: إرسال قائمة المتطلبات</x:v>
      </x:c>
      <x:c r="P75" s="16" t="str">
        <x:v>نعم</x:v>
      </x:c>
      <x:c r="Q75" s="16" t="str">
        <x:v>نعم</x:v>
      </x:c>
      <x:c r="R75" s="16" t="str">
        <x:v>validation</x:v>
      </x:c>
    </x:row>
    <x:row r="76" ht="48" customHeight="1">
      <x:c r="A76" s="14" t="str">
        <x:v>NB-075</x:v>
      </x:c>
      <x:c r="B76" s="16" t="str">
        <x:v>هل يمكن تقديم طلب متابعة معاملة بدون زيارة مقر الإمارة؟</x:v>
      </x:c>
      <x:c r="C76" s="16" t="str">
        <x:v>تواصل اجتماعي</x:v>
      </x:c>
      <x:c r="D76" s="16" t="str">
        <x:v>رفحاء</x:v>
      </x:c>
      <x:c r="E76" s="16" t="str">
        <x:v>مواطن</x:v>
      </x:c>
      <x:c r="F76" s="16" t="str">
        <x:v>الاستفسارات عن المتطلبات والإجراءات</x:v>
      </x:c>
      <x:c r="G76" s="16" t="str">
        <x:v>استفسار</x:v>
      </x:c>
      <x:c r="H76" s="16" t="str">
        <x:v>محايد</x:v>
      </x:c>
      <x:c r="I76" s="16" t="str">
        <x:v>تقديم عن بعد</x:v>
      </x:c>
      <x:c r="J76" s="16" t="str">
        <x:v>منخفض</x:v>
      </x:c>
      <x:c r="K76" s="14" t="n">
        <x:v>1</x:v>
      </x:c>
      <x:c r="L76" s="16" t="str">
        <x:v>المركز الشامل</x:v>
      </x:c>
      <x:c r="M76" s="16" t="str">
        <x:v>داخل الإمارة</x:v>
      </x:c>
      <x:c r="N76" s="16" t="str">
        <x:v>تزويد المستفيد برابط الخدمة</x:v>
      </x:c>
      <x:c r="O76" s="16" t="str">
        <x:v>تصنيف الموضوع: تقديم عن بعد؛ المشاعر: محايد؛ الأولوية: منخفض؛ الإجراء المقترح: تزويد المستفيد برابط الخدمة</x:v>
      </x:c>
      <x:c r="P76" s="16" t="str">
        <x:v>نعم</x:v>
      </x:c>
      <x:c r="Q76" s="16" t="str">
        <x:v>نعم</x:v>
      </x:c>
      <x:c r="R76" s="16" t="str">
        <x:v>validation</x:v>
      </x:c>
    </x:row>
    <x:row r="77" ht="48" customHeight="1">
      <x:c r="A77" s="14" t="str">
        <x:v>NB-076</x:v>
      </x:c>
      <x:c r="B77" s="16" t="str">
        <x:v>ما هي المدة المتوقعة للرد على الشكوى بعد إحالتها للجهة المختصة؟</x:v>
      </x:c>
      <x:c r="C77" s="16" t="str">
        <x:v>اتصال هاتفي</x:v>
      </x:c>
      <x:c r="D77" s="16" t="str">
        <x:v>طريف</x:v>
      </x:c>
      <x:c r="E77" s="16" t="str">
        <x:v>مواطن</x:v>
      </x:c>
      <x:c r="F77" s="16" t="str">
        <x:v>الاستفسارات عن المتطلبات والإجراءات</x:v>
      </x:c>
      <x:c r="G77" s="16" t="str">
        <x:v>استفسار</x:v>
      </x:c>
      <x:c r="H77" s="16" t="str">
        <x:v>محايد</x:v>
      </x:c>
      <x:c r="I77" s="16" t="str">
        <x:v>مدة الرد على الإحالة</x:v>
      </x:c>
      <x:c r="J77" s="16" t="str">
        <x:v>منخفض</x:v>
      </x:c>
      <x:c r="K77" s="14" t="n">
        <x:v>1</x:v>
      </x:c>
      <x:c r="L77" s="16" t="str">
        <x:v>إدارة المتابعة</x:v>
      </x:c>
      <x:c r="M77" s="16" t="str">
        <x:v>جهة خدمية خارجية</x:v>
      </x:c>
      <x:c r="N77" s="16" t="str">
        <x:v>توضيح SLA الإحالات</x:v>
      </x:c>
      <x:c r="O77" s="16" t="str">
        <x:v>تصنيف الموضوع: مدة الرد على الإحالة؛ المشاعر: محايد؛ الأولوية: منخفض؛ الإجراء المقترح: توضيح SLA الإحالات</x:v>
      </x:c>
      <x:c r="P77" s="16" t="str">
        <x:v>نعم</x:v>
      </x:c>
      <x:c r="Q77" s="16" t="str">
        <x:v>نعم</x:v>
      </x:c>
      <x:c r="R77" s="16" t="str">
        <x:v>validation</x:v>
      </x:c>
    </x:row>
    <x:row r="78" ht="48" customHeight="1">
      <x:c r="A78" s="14" t="str">
        <x:v>NB-077</x:v>
      </x:c>
      <x:c r="B78" s="16" t="str">
        <x:v>أرغب بمعرفة طريقة الاعتراض على إغلاق طلب سابق.</x:v>
      </x:c>
      <x:c r="C78" s="16" t="str">
        <x:v>بوابة الإمارة</x:v>
      </x:c>
      <x:c r="D78" s="16" t="str">
        <x:v>عرعر</x:v>
      </x:c>
      <x:c r="E78" s="16" t="str">
        <x:v>مواطن</x:v>
      </x:c>
      <x:c r="F78" s="16" t="str">
        <x:v>الاستفسارات عن المتطلبات والإجراءات</x:v>
      </x:c>
      <x:c r="G78" s="16" t="str">
        <x:v>استفسار</x:v>
      </x:c>
      <x:c r="H78" s="16" t="str">
        <x:v>محايد</x:v>
      </x:c>
      <x:c r="I78" s="16" t="str">
        <x:v>اعتراض على الإغلاق</x:v>
      </x:c>
      <x:c r="J78" s="16" t="str">
        <x:v>منخفض</x:v>
      </x:c>
      <x:c r="K78" s="14" t="n">
        <x:v>1</x:v>
      </x:c>
      <x:c r="L78" s="16" t="str">
        <x:v>إدارة تجربة المستفيد</x:v>
      </x:c>
      <x:c r="M78" s="16" t="str">
        <x:v>داخل الإمارة</x:v>
      </x:c>
      <x:c r="N78" s="16" t="str">
        <x:v>إرشاد المستفيد لمسار الاعتراض</x:v>
      </x:c>
      <x:c r="O78" s="16" t="str">
        <x:v>تصنيف الموضوع: اعتراض على الإغلاق؛ المشاعر: محايد؛ الأولوية: منخفض؛ الإجراء المقترح: إرشاد المستفيد لمسار الاعتراض</x:v>
      </x:c>
      <x:c r="P78" s="16" t="str">
        <x:v>نعم</x:v>
      </x:c>
      <x:c r="Q78" s="16" t="str">
        <x:v>نعم</x:v>
      </x:c>
      <x:c r="R78" s="16" t="str">
        <x:v>validation</x:v>
      </x:c>
    </x:row>
    <x:row r="79" ht="48" customHeight="1">
      <x:c r="A79" s="14" t="str">
        <x:v>NB-078</x:v>
      </x:c>
      <x:c r="B79" s="16" t="str">
        <x:v>هل أستطيع تعديل وصف الطلب بعد إرساله إذا اكتشفت خطأ؟</x:v>
      </x:c>
      <x:c r="C79" s="16" t="str">
        <x:v>بوابة الإمارة</x:v>
      </x:c>
      <x:c r="D79" s="16" t="str">
        <x:v>رفحاء</x:v>
      </x:c>
      <x:c r="E79" s="16" t="str">
        <x:v>مقيم</x:v>
      </x:c>
      <x:c r="F79" s="16" t="str">
        <x:v>الاستفسارات عن المتطلبات والإجراءات</x:v>
      </x:c>
      <x:c r="G79" s="16" t="str">
        <x:v>استفسار</x:v>
      </x:c>
      <x:c r="H79" s="16" t="str">
        <x:v>محايد</x:v>
      </x:c>
      <x:c r="I79" s="16" t="str">
        <x:v>تعديل الطلب بعد الإرسال</x:v>
      </x:c>
      <x:c r="J79" s="16" t="str">
        <x:v>منخفض</x:v>
      </x:c>
      <x:c r="K79" s="14" t="n">
        <x:v>1</x:v>
      </x:c>
      <x:c r="L79" s="16" t="str">
        <x:v>إدارة تقنية المعلومات</x:v>
      </x:c>
      <x:c r="M79" s="16" t="str">
        <x:v>داخل الإمارة</x:v>
      </x:c>
      <x:c r="N79" s="16" t="str">
        <x:v>توضيح آلية التعديل أو إضافة ملاحظة</x:v>
      </x:c>
      <x:c r="O79" s="16" t="str">
        <x:v>تصنيف الموضوع: تعديل الطلب بعد الإرسال؛ المشاعر: محايد؛ الأولوية: منخفض؛ الإجراء المقترح: توضيح آلية التعديل أو إضافة ملاحظة</x:v>
      </x:c>
      <x:c r="P79" s="16" t="str">
        <x:v>نعم</x:v>
      </x:c>
      <x:c r="Q79" s="16" t="str">
        <x:v>نعم</x:v>
      </x:c>
      <x:c r="R79" s="16" t="str">
        <x:v>validation</x:v>
      </x:c>
    </x:row>
    <x:row r="80" ht="48" customHeight="1">
      <x:c r="A80" s="14" t="str">
        <x:v>NB-079</x:v>
      </x:c>
      <x:c r="B80" s="16" t="str">
        <x:v>ما القنوات الرسمية المعتمدة لاستقبال شكاوى وملاحظات الأهالي؟</x:v>
      </x:c>
      <x:c r="C80" s="16" t="str">
        <x:v>اتصال هاتفي</x:v>
      </x:c>
      <x:c r="D80" s="16" t="str">
        <x:v>العويقيلة</x:v>
      </x:c>
      <x:c r="E80" s="16" t="str">
        <x:v>أهالي مركز</x:v>
      </x:c>
      <x:c r="F80" s="16" t="str">
        <x:v>الاستفسارات عن المتطلبات والإجراءات</x:v>
      </x:c>
      <x:c r="G80" s="16" t="str">
        <x:v>استفسار</x:v>
      </x:c>
      <x:c r="H80" s="16" t="str">
        <x:v>محايد</x:v>
      </x:c>
      <x:c r="I80" s="16" t="str">
        <x:v>القنوات الرسمية</x:v>
      </x:c>
      <x:c r="J80" s="16" t="str">
        <x:v>منخفض</x:v>
      </x:c>
      <x:c r="K80" s="14" t="n">
        <x:v>1</x:v>
      </x:c>
      <x:c r="L80" s="16" t="str">
        <x:v>إدارة تجربة المستفيد</x:v>
      </x:c>
      <x:c r="M80" s="16" t="str">
        <x:v>داخل الإمارة</x:v>
      </x:c>
      <x:c r="N80" s="16" t="str">
        <x:v>تزويد المستفيد بقائمة القنوات</x:v>
      </x:c>
      <x:c r="O80" s="16" t="str">
        <x:v>تصنيف الموضوع: القنوات الرسمية؛ المشاعر: محايد؛ الأولوية: منخفض؛ الإجراء المقترح: تزويد المستفيد بقائمة القنوات</x:v>
      </x:c>
      <x:c r="P80" s="16" t="str">
        <x:v>نعم</x:v>
      </x:c>
      <x:c r="Q80" s="16" t="str">
        <x:v>نعم</x:v>
      </x:c>
      <x:c r="R80" s="16" t="str">
        <x:v>validation</x:v>
      </x:c>
    </x:row>
    <x:row r="81" ht="48" customHeight="1">
      <x:c r="A81" s="14" t="str">
        <x:v>NB-080</x:v>
      </x:c>
      <x:c r="B81" s="16" t="str">
        <x:v>أحتاج معرفة هل الشكوى البلدية تقدم عبر الإمارة أم عبر الجهة الخدمية مباشرة.</x:v>
      </x:c>
      <x:c r="C81" s="16" t="str">
        <x:v>المركز الشامل</x:v>
      </x:c>
      <x:c r="D81" s="16" t="str">
        <x:v>عرعر</x:v>
      </x:c>
      <x:c r="E81" s="16" t="str">
        <x:v>مواطن</x:v>
      </x:c>
      <x:c r="F81" s="16" t="str">
        <x:v>الاستفسارات عن المتطلبات والإجراءات</x:v>
      </x:c>
      <x:c r="G81" s="16" t="str">
        <x:v>استفسار</x:v>
      </x:c>
      <x:c r="H81" s="16" t="str">
        <x:v>محايد</x:v>
      </x:c>
      <x:c r="I81" s="16" t="str">
        <x:v>تحديد مسار الشكوى</x:v>
      </x:c>
      <x:c r="J81" s="16" t="str">
        <x:v>منخفض</x:v>
      </x:c>
      <x:c r="K81" s="14" t="n">
        <x:v>1</x:v>
      </x:c>
      <x:c r="L81" s="16" t="str">
        <x:v>المركز الشامل</x:v>
      </x:c>
      <x:c r="M81" s="16" t="str">
        <x:v>جهة خدمية خارجية</x:v>
      </x:c>
      <x:c r="N81" s="16" t="str">
        <x:v>توجيه المستفيد للمسار الصحيح</x:v>
      </x:c>
      <x:c r="O81" s="16" t="str">
        <x:v>تصنيف الموضوع: تحديد مسار الشكوى؛ المشاعر: محايد؛ الأولوية: منخفض؛ الإجراء المقترح: توجيه المستفيد للمسار الصحيح</x:v>
      </x:c>
      <x:c r="P81" s="16" t="str">
        <x:v>نعم</x:v>
      </x:c>
      <x:c r="Q81" s="16" t="str">
        <x:v>نعم</x:v>
      </x:c>
      <x:c r="R81" s="16" t="str">
        <x:v>validation</x:v>
      </x:c>
    </x:row>
    <x:row r="82" ht="48" customHeight="1">
      <x:c r="A82" s="14" t="str">
        <x:v>NB-081</x:v>
      </x:c>
      <x:c r="B82" s="16" t="str">
        <x:v>هل توجد خدمة لإشعار المستفيد عند انتهاء المعالجة؟</x:v>
      </x:c>
      <x:c r="C82" s="16" t="str">
        <x:v>بوابة الإمارة</x:v>
      </x:c>
      <x:c r="D82" s="16" t="str">
        <x:v>طريف</x:v>
      </x:c>
      <x:c r="E82" s="16" t="str">
        <x:v>مواطن</x:v>
      </x:c>
      <x:c r="F82" s="16" t="str">
        <x:v>الاستفسارات عن المتطلبات والإجراءات</x:v>
      </x:c>
      <x:c r="G82" s="16" t="str">
        <x:v>استفسار</x:v>
      </x:c>
      <x:c r="H82" s="16" t="str">
        <x:v>محايد</x:v>
      </x:c>
      <x:c r="I82" s="16" t="str">
        <x:v>إشعار انتهاء المعالجة</x:v>
      </x:c>
      <x:c r="J82" s="16" t="str">
        <x:v>منخفض</x:v>
      </x:c>
      <x:c r="K82" s="14" t="n">
        <x:v>1</x:v>
      </x:c>
      <x:c r="L82" s="16" t="str">
        <x:v>إدارة تجربة المستفيد</x:v>
      </x:c>
      <x:c r="M82" s="16" t="str">
        <x:v>داخل الإمارة</x:v>
      </x:c>
      <x:c r="N82" s="16" t="str">
        <x:v>شرح آلية الإشعارات الحالية</x:v>
      </x:c>
      <x:c r="O82" s="16" t="str">
        <x:v>تصنيف الموضوع: إشعار انتهاء المعالجة؛ المشاعر: محايد؛ الأولوية: منخفض؛ الإجراء المقترح: شرح آلية الإشعارات الحالية</x:v>
      </x:c>
      <x:c r="P82" s="16" t="str">
        <x:v>نعم</x:v>
      </x:c>
      <x:c r="Q82" s="16" t="str">
        <x:v>نعم</x:v>
      </x:c>
      <x:c r="R82" s="16" t="str">
        <x:v>validation</x:v>
      </x:c>
    </x:row>
    <x:row r="83" ht="48" customHeight="1">
      <x:c r="A83" s="14" t="str">
        <x:v>NB-082</x:v>
      </x:c>
      <x:c r="B83" s="16" t="str">
        <x:v>أقترح إضافة لوحة تعرض أكثر أنواع الشكاوى تكرارًا حسب المحافظة أو المركز.</x:v>
      </x:c>
      <x:c r="C83" s="16" t="str">
        <x:v>البريد الإلكتروني</x:v>
      </x:c>
      <x:c r="D83" s="16" t="str">
        <x:v>عرعر</x:v>
      </x:c>
      <x:c r="E83" s="16" t="str">
        <x:v>موظف داخلي</x:v>
      </x:c>
      <x:c r="F83" s="16" t="str">
        <x:v>اقتراحات تحسين تجربة المستفيد</x:v>
      </x:c>
      <x:c r="G83" s="16" t="str">
        <x:v>اقتراح</x:v>
      </x:c>
      <x:c r="H83" s="16" t="str">
        <x:v>محايد</x:v>
      </x:c>
      <x:c r="I83" s="16" t="str">
        <x:v>لوحة تحليل موضوعات</x:v>
      </x:c>
      <x:c r="J83" s="16" t="str">
        <x:v>منخفض</x:v>
      </x:c>
      <x:c r="K83" s="14" t="n">
        <x:v>1</x:v>
      </x:c>
      <x:c r="L83" s="16" t="str">
        <x:v>إدارة الجودة</x:v>
      </x:c>
      <x:c r="M83" s="16" t="str">
        <x:v>داخل الإمارة</x:v>
      </x:c>
      <x:c r="N83" s="16" t="str">
        <x:v>دراسة لوحة Topic Modeling</x:v>
      </x:c>
      <x:c r="O83" s="16" t="str">
        <x:v>تصنيف الموضوع: لوحة تحليل موضوعات؛ المشاعر: محايد؛ الأولوية: منخفض؛ الإجراء المقترح: دراسة لوحة Topic Modeling</x:v>
      </x:c>
      <x:c r="P83" s="16" t="str">
        <x:v>نعم</x:v>
      </x:c>
      <x:c r="Q83" s="16" t="str">
        <x:v>نعم</x:v>
      </x:c>
      <x:c r="R83" s="16" t="str">
        <x:v>validation</x:v>
      </x:c>
    </x:row>
    <x:row r="84" ht="48" customHeight="1">
      <x:c r="A84" s="14" t="str">
        <x:v>NB-083</x:v>
      </x:c>
      <x:c r="B84" s="16" t="str">
        <x:v>نأمل إضافة إشعار SMS عند تغيير حالة الطلب أو إحالته لجهة أخرى.</x:v>
      </x:c>
      <x:c r="C84" s="16" t="str">
        <x:v>بوابة الإمارة</x:v>
      </x:c>
      <x:c r="D84" s="16" t="str">
        <x:v>رفحاء</x:v>
      </x:c>
      <x:c r="E84" s="16" t="str">
        <x:v>مواطن</x:v>
      </x:c>
      <x:c r="F84" s="16" t="str">
        <x:v>اقتراحات تحسين تجربة المستفيد</x:v>
      </x:c>
      <x:c r="G84" s="16" t="str">
        <x:v>اقتراح</x:v>
      </x:c>
      <x:c r="H84" s="16" t="str">
        <x:v>محايد</x:v>
      </x:c>
      <x:c r="I84" s="16" t="str">
        <x:v>إشعارات SMS</x:v>
      </x:c>
      <x:c r="J84" s="16" t="str">
        <x:v>منخفض</x:v>
      </x:c>
      <x:c r="K84" s="14" t="n">
        <x:v>1</x:v>
      </x:c>
      <x:c r="L84" s="16" t="str">
        <x:v>إدارة تقنية المعلومات</x:v>
      </x:c>
      <x:c r="M84" s="16" t="str">
        <x:v>داخل الإمارة</x:v>
      </x:c>
      <x:c r="N84" s="16" t="str">
        <x:v>تفعيل إشعارات حالة الطلب</x:v>
      </x:c>
      <x:c r="O84" s="16" t="str">
        <x:v>تصنيف الموضوع: إشعارات SMS؛ المشاعر: محايد؛ الأولوية: منخفض؛ الإجراء المقترح: تفعيل إشعارات حالة الطلب</x:v>
      </x:c>
      <x:c r="P84" s="16" t="str">
        <x:v>نعم</x:v>
      </x:c>
      <x:c r="Q84" s="16" t="str">
        <x:v>نعم</x:v>
      </x:c>
      <x:c r="R84" s="16" t="str">
        <x:v>validation</x:v>
      </x:c>
    </x:row>
    <x:row r="85" ht="48" customHeight="1">
      <x:c r="A85" s="14" t="str">
        <x:v>NB-084</x:v>
      </x:c>
      <x:c r="B85" s="16" t="str">
        <x:v>أقترح أن يتيح النظام تقييم الخدمة بعد إغلاق الطلب مباشرة.</x:v>
      </x:c>
      <x:c r="C85" s="16" t="str">
        <x:v>بوابة الإمارة</x:v>
      </x:c>
      <x:c r="D85" s="16" t="str">
        <x:v>طريف</x:v>
      </x:c>
      <x:c r="E85" s="16" t="str">
        <x:v>مواطن</x:v>
      </x:c>
      <x:c r="F85" s="16" t="str">
        <x:v>اقتراحات تحسين تجربة المستفيد</x:v>
      </x:c>
      <x:c r="G85" s="16" t="str">
        <x:v>اقتراح</x:v>
      </x:c>
      <x:c r="H85" s="16" t="str">
        <x:v>محايد</x:v>
      </x:c>
      <x:c r="I85" s="16" t="str">
        <x:v>تقييم بعد الإغلاق</x:v>
      </x:c>
      <x:c r="J85" s="16" t="str">
        <x:v>منخفض</x:v>
      </x:c>
      <x:c r="K85" s="14" t="n">
        <x:v>1</x:v>
      </x:c>
      <x:c r="L85" s="16" t="str">
        <x:v>إدارة تجربة المستفيد</x:v>
      </x:c>
      <x:c r="M85" s="16" t="str">
        <x:v>داخل الإمارة</x:v>
      </x:c>
      <x:c r="N85" s="16" t="str">
        <x:v>إضافة استبيان رضا بعد الإغلاق</x:v>
      </x:c>
      <x:c r="O85" s="16" t="str">
        <x:v>تصنيف الموضوع: تقييم بعد الإغلاق؛ المشاعر: محايد؛ الأولوية: منخفض؛ الإجراء المقترح: إضافة استبيان رضا بعد الإغلاق</x:v>
      </x:c>
      <x:c r="P85" s="16" t="str">
        <x:v>نعم</x:v>
      </x:c>
      <x:c r="Q85" s="16" t="str">
        <x:v>نعم</x:v>
      </x:c>
      <x:c r="R85" s="16" t="str">
        <x:v>validation</x:v>
      </x:c>
    </x:row>
    <x:row r="86" ht="48" customHeight="1">
      <x:c r="A86" s="14" t="str">
        <x:v>NB-085</x:v>
      </x:c>
      <x:c r="B86" s="16" t="str">
        <x:v>يفضل وجود رد آلي يوضح للمستفيد هل طلبه من اختصاص الإمارة أم جهة أخرى.</x:v>
      </x:c>
      <x:c r="C86" s="16" t="str">
        <x:v>تواصل اجتماعي</x:v>
      </x:c>
      <x:c r="D86" s="16" t="str">
        <x:v>عرعر</x:v>
      </x:c>
      <x:c r="E86" s="16" t="str">
        <x:v>مواطن</x:v>
      </x:c>
      <x:c r="F86" s="16" t="str">
        <x:v>اقتراحات تحسين تجربة المستفيد</x:v>
      </x:c>
      <x:c r="G86" s="16" t="str">
        <x:v>اقتراح</x:v>
      </x:c>
      <x:c r="H86" s="16" t="str">
        <x:v>محايد</x:v>
      </x:c>
      <x:c r="I86" s="16" t="str">
        <x:v>فرز الاختصاص</x:v>
      </x:c>
      <x:c r="J86" s="16" t="str">
        <x:v>متوسط</x:v>
      </x:c>
      <x:c r="K86" s="14" t="n">
        <x:v>2</x:v>
      </x:c>
      <x:c r="L86" s="16" t="str">
        <x:v>المركز الشامل</x:v>
      </x:c>
      <x:c r="M86" s="16" t="str">
        <x:v>داخل الإمارة/جهة خارجية</x:v>
      </x:c>
      <x:c r="N86" s="16" t="str">
        <x:v>إضافة تصنيف أولي للاختصاص</x:v>
      </x:c>
      <x:c r="O86" s="16" t="str">
        <x:v>تصنيف الموضوع: فرز الاختصاص؛ المشاعر: محايد؛ الأولوية: متوسط؛ الإجراء المقترح: إضافة تصنيف أولي للاختصاص</x:v>
      </x:c>
      <x:c r="P86" s="16" t="str">
        <x:v>نعم</x:v>
      </x:c>
      <x:c r="Q86" s="16" t="str">
        <x:v>نعم</x:v>
      </x:c>
      <x:c r="R86" s="16" t="str">
        <x:v>validation</x:v>
      </x:c>
    </x:row>
    <x:row r="87" ht="48" customHeight="1">
      <x:c r="A87" s="14" t="str">
        <x:v>NB-086</x:v>
      </x:c>
      <x:c r="B87" s="16" t="str">
        <x:v>نقترح استخدام تحليل المشاعر لاكتشاف الحالات الغاضبة قبل أن تتكرر الشكوى.</x:v>
      </x:c>
      <x:c r="C87" s="16" t="str">
        <x:v>البريد الإلكتروني</x:v>
      </x:c>
      <x:c r="D87" s="16" t="str">
        <x:v>عرعر</x:v>
      </x:c>
      <x:c r="E87" s="16" t="str">
        <x:v>موظف داخلي</x:v>
      </x:c>
      <x:c r="F87" s="16" t="str">
        <x:v>اقتراحات تحسين تجربة المستفيد</x:v>
      </x:c>
      <x:c r="G87" s="16" t="str">
        <x:v>اقتراح</x:v>
      </x:c>
      <x:c r="H87" s="16" t="str">
        <x:v>محايد</x:v>
      </x:c>
      <x:c r="I87" s="16" t="str">
        <x:v>تحليل المشاعر</x:v>
      </x:c>
      <x:c r="J87" s="16" t="str">
        <x:v>منخفض</x:v>
      </x:c>
      <x:c r="K87" s="14" t="n">
        <x:v>1</x:v>
      </x:c>
      <x:c r="L87" s="16" t="str">
        <x:v>إدارة الجودة</x:v>
      </x:c>
      <x:c r="M87" s="16" t="str">
        <x:v>داخل الإمارة</x:v>
      </x:c>
      <x:c r="N87" s="16" t="str">
        <x:v>تفعيل تنبيه للحالات السلبية المتكررة</x:v>
      </x:c>
      <x:c r="O87" s="16" t="str">
        <x:v>تصنيف الموضوع: تحليل المشاعر؛ المشاعر: محايد؛ الأولوية: منخفض؛ الإجراء المقترح: تفعيل تنبيه للحالات السلبية المتكررة</x:v>
      </x:c>
      <x:c r="P87" s="16" t="str">
        <x:v>نعم</x:v>
      </x:c>
      <x:c r="Q87" s="16" t="str">
        <x:v>نعم</x:v>
      </x:c>
      <x:c r="R87" s="16" t="str">
        <x:v>test</x:v>
      </x:c>
    </x:row>
    <x:row r="88" ht="48" customHeight="1">
      <x:c r="A88" s="14" t="str">
        <x:v>NB-087</x:v>
      </x:c>
      <x:c r="B88" s="16" t="str">
        <x:v>أقترح دمج الملاحظات المتشابهة حتى لا تتعامل الإدارات مع نفس الموضوع أكثر من مرة.</x:v>
      </x:c>
      <x:c r="C88" s="16" t="str">
        <x:v>البريد الإلكتروني</x:v>
      </x:c>
      <x:c r="D88" s="16" t="str">
        <x:v>رفحاء</x:v>
      </x:c>
      <x:c r="E88" s="16" t="str">
        <x:v>موظف داخلي</x:v>
      </x:c>
      <x:c r="F88" s="16" t="str">
        <x:v>اقتراحات تحسين تجربة المستفيد</x:v>
      </x:c>
      <x:c r="G88" s="16" t="str">
        <x:v>اقتراح</x:v>
      </x:c>
      <x:c r="H88" s="16" t="str">
        <x:v>محايد</x:v>
      </x:c>
      <x:c r="I88" s="16" t="str">
        <x:v>كشف التكرار</x:v>
      </x:c>
      <x:c r="J88" s="16" t="str">
        <x:v>منخفض</x:v>
      </x:c>
      <x:c r="K88" s="14" t="n">
        <x:v>1</x:v>
      </x:c>
      <x:c r="L88" s="16" t="str">
        <x:v>إدارة الجودة</x:v>
      </x:c>
      <x:c r="M88" s="16" t="str">
        <x:v>داخل الإمارة</x:v>
      </x:c>
      <x:c r="N88" s="16" t="str">
        <x:v>تفعيل Similarity Matching للنصوص</x:v>
      </x:c>
      <x:c r="O88" s="16" t="str">
        <x:v>تصنيف الموضوع: كشف التكرار؛ المشاعر: محايد؛ الأولوية: منخفض؛ الإجراء المقترح: تفعيل Similarity Matching للنصوص</x:v>
      </x:c>
      <x:c r="P88" s="16" t="str">
        <x:v>نعم</x:v>
      </x:c>
      <x:c r="Q88" s="16" t="str">
        <x:v>نعم</x:v>
      </x:c>
      <x:c r="R88" s="16" t="str">
        <x:v>test</x:v>
      </x:c>
    </x:row>
    <x:row r="89" ht="48" customHeight="1">
      <x:c r="A89" s="14" t="str">
        <x:v>NB-088</x:v>
      </x:c>
      <x:c r="B89" s="16" t="str">
        <x:v>نحتاج ملخصًا أسبوعيًا للإدارة العليا عن أكثر الشكاوى تأثيرًا على رضا المستفيدين.</x:v>
      </x:c>
      <x:c r="C89" s="16" t="str">
        <x:v>البريد الإلكتروني</x:v>
      </x:c>
      <x:c r="D89" s="16" t="str">
        <x:v>عرعر</x:v>
      </x:c>
      <x:c r="E89" s="16" t="str">
        <x:v>موظف داخلي</x:v>
      </x:c>
      <x:c r="F89" s="16" t="str">
        <x:v>اقتراحات تحسين تجربة المستفيد</x:v>
      </x:c>
      <x:c r="G89" s="16" t="str">
        <x:v>اقتراح</x:v>
      </x:c>
      <x:c r="H89" s="16" t="str">
        <x:v>محايد</x:v>
      </x:c>
      <x:c r="I89" s="16" t="str">
        <x:v>تقرير أسبوعي للإدارة</x:v>
      </x:c>
      <x:c r="J89" s="16" t="str">
        <x:v>منخفض</x:v>
      </x:c>
      <x:c r="K89" s="14" t="n">
        <x:v>1</x:v>
      </x:c>
      <x:c r="L89" s="16" t="str">
        <x:v>إدارة الجودة</x:v>
      </x:c>
      <x:c r="M89" s="16" t="str">
        <x:v>داخل الإمارة</x:v>
      </x:c>
      <x:c r="N89" s="16" t="str">
        <x:v>إصدار تقرير أسبوعي آلي</x:v>
      </x:c>
      <x:c r="O89" s="16" t="str">
        <x:v>تصنيف الموضوع: تقرير أسبوعي للإدارة؛ المشاعر: محايد؛ الأولوية: منخفض؛ الإجراء المقترح: إصدار تقرير أسبوعي آلي</x:v>
      </x:c>
      <x:c r="P89" s="16" t="str">
        <x:v>نعم</x:v>
      </x:c>
      <x:c r="Q89" s="16" t="str">
        <x:v>نعم</x:v>
      </x:c>
      <x:c r="R89" s="16" t="str">
        <x:v>test</x:v>
      </x:c>
    </x:row>
    <x:row r="90" ht="48" customHeight="1">
      <x:c r="A90" s="14" t="str">
        <x:v>NB-089</x:v>
      </x:c>
      <x:c r="B90" s="16" t="str">
        <x:v>أقترح إضافة تصنيف عاجل للحالات التي تتعلق بالسلامة العامة حتى لا تنتظر في المسار العادي.</x:v>
      </x:c>
      <x:c r="C90" s="16" t="str">
        <x:v>بوابة الإمارة</x:v>
      </x:c>
      <x:c r="D90" s="16" t="str">
        <x:v>طريف</x:v>
      </x:c>
      <x:c r="E90" s="16" t="str">
        <x:v>مواطن</x:v>
      </x:c>
      <x:c r="F90" s="16" t="str">
        <x:v>اقتراحات تحسين تجربة المستفيد</x:v>
      </x:c>
      <x:c r="G90" s="16" t="str">
        <x:v>اقتراح</x:v>
      </x:c>
      <x:c r="H90" s="16" t="str">
        <x:v>محايد</x:v>
      </x:c>
      <x:c r="I90" s="16" t="str">
        <x:v>تصنيف السلامة العامة</x:v>
      </x:c>
      <x:c r="J90" s="16" t="str">
        <x:v>عالي</x:v>
      </x:c>
      <x:c r="K90" s="14" t="n">
        <x:v>3</x:v>
      </x:c>
      <x:c r="L90" s="16" t="str">
        <x:v>إدارة المتابعة</x:v>
      </x:c>
      <x:c r="M90" s="16" t="str">
        <x:v>جهات متعددة</x:v>
      </x:c>
      <x:c r="N90" s="16" t="str">
        <x:v>إضافة قاعدة تصعيد للحالات المتعلقة بالسلامة</x:v>
      </x:c>
      <x:c r="O90" s="16" t="str">
        <x:v>تصنيف الموضوع: تصنيف السلامة العامة؛ المشاعر: محايد؛ الأولوية: عالي؛ الإجراء المقترح: إضافة قاعدة تصعيد للحالات المتعلقة بالسلامة</x:v>
      </x:c>
      <x:c r="P90" s="16" t="str">
        <x:v>نعم</x:v>
      </x:c>
      <x:c r="Q90" s="16" t="str">
        <x:v>نعم</x:v>
      </x:c>
      <x:c r="R90" s="16" t="str">
        <x:v>test</x:v>
      </x:c>
    </x:row>
    <x:row r="91" ht="48" customHeight="1">
      <x:c r="A91" s="14" t="str">
        <x:v>NB-090</x:v>
      </x:c>
      <x:c r="B91" s="16" t="str">
        <x:v>أشكر موظفي الإمارة على سرعة التجاوب مع طلبي وإبلاغي بالنتيجة في نفس اليوم.</x:v>
      </x:c>
      <x:c r="C91" s="16" t="str">
        <x:v>المركز الشامل</x:v>
      </x:c>
      <x:c r="D91" s="16" t="str">
        <x:v>عرعر</x:v>
      </x:c>
      <x:c r="E91" s="16" t="str">
        <x:v>مواطن</x:v>
      </x:c>
      <x:c r="F91" s="16" t="str">
        <x:v>رضا وشكر</x:v>
      </x:c>
      <x:c r="G91" s="16" t="str">
        <x:v>شكر</x:v>
      </x:c>
      <x:c r="H91" s="16" t="str">
        <x:v>إيجابي</x:v>
      </x:c>
      <x:c r="I91" s="16" t="str">
        <x:v>سرعة التجاوب</x:v>
      </x:c>
      <x:c r="J91" s="16" t="str">
        <x:v>منخفض</x:v>
      </x:c>
      <x:c r="K91" s="14" t="n">
        <x:v>1</x:v>
      </x:c>
      <x:c r="L91" s="16" t="str">
        <x:v>المركز الشامل</x:v>
      </x:c>
      <x:c r="M91" s="16" t="str">
        <x:v>داخل الإمارة</x:v>
      </x:c>
      <x:c r="N91" s="16" t="str">
        <x:v>توثيق حالة رضا</x:v>
      </x:c>
      <x:c r="O91" s="16" t="str">
        <x:v>تصنيف الموضوع: سرعة التجاوب؛ المشاعر: إيجابي؛ الأولوية: منخفض؛ الإجراء المقترح: توثيق حالة رضا</x:v>
      </x:c>
      <x:c r="P91" s="16" t="str">
        <x:v>نعم</x:v>
      </x:c>
      <x:c r="Q91" s="16" t="str">
        <x:v>نعم</x:v>
      </x:c>
      <x:c r="R91" s="16" t="str">
        <x:v>test</x:v>
      </x:c>
    </x:row>
    <x:row r="92" ht="48" customHeight="1">
      <x:c r="A92" s="14" t="str">
        <x:v>NB-091</x:v>
      </x:c>
      <x:c r="B92" s="16" t="str">
        <x:v>تمت متابعة ملاحظتنا مع الجهة المختصة حتى الإغلاق، وهذا رفع ثقتنا في القنوات الرسمية.</x:v>
      </x:c>
      <x:c r="C92" s="16" t="str">
        <x:v>بوابة الإمارة</x:v>
      </x:c>
      <x:c r="D92" s="16" t="str">
        <x:v>رفحاء</x:v>
      </x:c>
      <x:c r="E92" s="16" t="str">
        <x:v>أهالي مركز</x:v>
      </x:c>
      <x:c r="F92" s="16" t="str">
        <x:v>رضا وشكر</x:v>
      </x:c>
      <x:c r="G92" s="16" t="str">
        <x:v>شكر</x:v>
      </x:c>
      <x:c r="H92" s="16" t="str">
        <x:v>إيجابي</x:v>
      </x:c>
      <x:c r="I92" s="16" t="str">
        <x:v>متابعة حتى الإغلاق</x:v>
      </x:c>
      <x:c r="J92" s="16" t="str">
        <x:v>منخفض</x:v>
      </x:c>
      <x:c r="K92" s="14" t="n">
        <x:v>1</x:v>
      </x:c>
      <x:c r="L92" s="16" t="str">
        <x:v>إدارة المتابعة</x:v>
      </x:c>
      <x:c r="M92" s="16" t="str">
        <x:v>جهة خدمية خارجية</x:v>
      </x:c>
      <x:c r="N92" s="16" t="str">
        <x:v>توثيق نموذج متابعة ناجح</x:v>
      </x:c>
      <x:c r="O92" s="16" t="str">
        <x:v>تصنيف الموضوع: متابعة حتى الإغلاق؛ المشاعر: إيجابي؛ الأولوية: منخفض؛ الإجراء المقترح: توثيق نموذج متابعة ناجح</x:v>
      </x:c>
      <x:c r="P92" s="16" t="str">
        <x:v>نعم</x:v>
      </x:c>
      <x:c r="Q92" s="16" t="str">
        <x:v>نعم</x:v>
      </x:c>
      <x:c r="R92" s="16" t="str">
        <x:v>test</x:v>
      </x:c>
    </x:row>
    <x:row r="93" ht="48" customHeight="1">
      <x:c r="A93" s="14" t="str">
        <x:v>NB-092</x:v>
      </x:c>
      <x:c r="B93" s="16" t="str">
        <x:v>خدمة الاستقبال كانت منظمة، والموظف أوضح لي الإجراءات دون تعقيد.</x:v>
      </x:c>
      <x:c r="C93" s="16" t="str">
        <x:v>زيارة مقر</x:v>
      </x:c>
      <x:c r="D93" s="16" t="str">
        <x:v>طريف</x:v>
      </x:c>
      <x:c r="E93" s="16" t="str">
        <x:v>مواطن</x:v>
      </x:c>
      <x:c r="F93" s="16" t="str">
        <x:v>رضا وشكر</x:v>
      </x:c>
      <x:c r="G93" s="16" t="str">
        <x:v>شكر</x:v>
      </x:c>
      <x:c r="H93" s="16" t="str">
        <x:v>إيجابي</x:v>
      </x:c>
      <x:c r="I93" s="16" t="str">
        <x:v>وضوح الخدمة</x:v>
      </x:c>
      <x:c r="J93" s="16" t="str">
        <x:v>منخفض</x:v>
      </x:c>
      <x:c r="K93" s="14" t="n">
        <x:v>1</x:v>
      </x:c>
      <x:c r="L93" s="16" t="str">
        <x:v>المركز الشامل</x:v>
      </x:c>
      <x:c r="M93" s="16" t="str">
        <x:v>داخل الإمارة</x:v>
      </x:c>
      <x:c r="N93" s="16" t="str">
        <x:v>توثيق رضا المستفيد</x:v>
      </x:c>
      <x:c r="O93" s="16" t="str">
        <x:v>تصنيف الموضوع: وضوح الخدمة؛ المشاعر: إيجابي؛ الأولوية: منخفض؛ الإجراء المقترح: توثيق رضا المستفيد</x:v>
      </x:c>
      <x:c r="P93" s="16" t="str">
        <x:v>نعم</x:v>
      </x:c>
      <x:c r="Q93" s="16" t="str">
        <x:v>نعم</x:v>
      </x:c>
      <x:c r="R93" s="16" t="str">
        <x:v>test</x:v>
      </x:c>
    </x:row>
    <x:row r="94" ht="48" customHeight="1">
      <x:c r="A94" s="14" t="str">
        <x:v>NB-093</x:v>
      </x:c>
      <x:c r="B94" s="16" t="str">
        <x:v>وصلني إشعار بحالة الطلب في الوقت المناسب، وكانت التجربة أفضل من المراجعة الحضورية.</x:v>
      </x:c>
      <x:c r="C94" s="16" t="str">
        <x:v>بوابة الإمارة</x:v>
      </x:c>
      <x:c r="D94" s="16" t="str">
        <x:v>عرعر</x:v>
      </x:c>
      <x:c r="E94" s="16" t="str">
        <x:v>مقيم</x:v>
      </x:c>
      <x:c r="F94" s="16" t="str">
        <x:v>رضا وشكر</x:v>
      </x:c>
      <x:c r="G94" s="16" t="str">
        <x:v>شكر</x:v>
      </x:c>
      <x:c r="H94" s="16" t="str">
        <x:v>إيجابي</x:v>
      </x:c>
      <x:c r="I94" s="16" t="str">
        <x:v>إشعارات فعالة</x:v>
      </x:c>
      <x:c r="J94" s="16" t="str">
        <x:v>منخفض</x:v>
      </x:c>
      <x:c r="K94" s="14" t="n">
        <x:v>1</x:v>
      </x:c>
      <x:c r="L94" s="16" t="str">
        <x:v>إدارة تجربة المستفيد</x:v>
      </x:c>
      <x:c r="M94" s="16" t="str">
        <x:v>داخل الإمارة</x:v>
      </x:c>
      <x:c r="N94" s="16" t="str">
        <x:v>توثيق رضا عن القناة الرقمية</x:v>
      </x:c>
      <x:c r="O94" s="16" t="str">
        <x:v>تصنيف الموضوع: إشعارات فعالة؛ المشاعر: إيجابي؛ الأولوية: منخفض؛ الإجراء المقترح: توثيق رضا عن القناة الرقمية</x:v>
      </x:c>
      <x:c r="P94" s="16" t="str">
        <x:v>نعم</x:v>
      </x:c>
      <x:c r="Q94" s="16" t="str">
        <x:v>نعم</x:v>
      </x:c>
      <x:c r="R94" s="16" t="str">
        <x:v>test</x:v>
      </x:c>
    </x:row>
    <x:row r="95" ht="48" customHeight="1">
      <x:c r="A95" s="14" t="str">
        <x:v>NB-094</x:v>
      </x:c>
      <x:c r="B95" s="16" t="str">
        <x:v>نشكر المحافظة على إيصال ملاحظة الأهالي للإمارة ومتابعة الرد مع الجهة المختصة.</x:v>
      </x:c>
      <x:c r="C95" s="16" t="str">
        <x:v>زيارة محافظة</x:v>
      </x:c>
      <x:c r="D95" s="16" t="str">
        <x:v>العويقيلة</x:v>
      </x:c>
      <x:c r="E95" s="16" t="str">
        <x:v>أهالي قرية</x:v>
      </x:c>
      <x:c r="F95" s="16" t="str">
        <x:v>رضا وشكر</x:v>
      </x:c>
      <x:c r="G95" s="16" t="str">
        <x:v>شكر</x:v>
      </x:c>
      <x:c r="H95" s="16" t="str">
        <x:v>إيجابي</x:v>
      </x:c>
      <x:c r="I95" s="16" t="str">
        <x:v>تعاون المحافظة</x:v>
      </x:c>
      <x:c r="J95" s="16" t="str">
        <x:v>منخفض</x:v>
      </x:c>
      <x:c r="K95" s="14" t="n">
        <x:v>1</x:v>
      </x:c>
      <x:c r="L95" s="16" t="str">
        <x:v>المحافظة/المركز</x:v>
      </x:c>
      <x:c r="M95" s="16" t="str">
        <x:v>جهة خدمية خارجية</x:v>
      </x:c>
      <x:c r="N95" s="16" t="str">
        <x:v>توثيق حالة تنسيق ناجحة</x:v>
      </x:c>
      <x:c r="O95" s="16" t="str">
        <x:v>تصنيف الموضوع: تعاون المحافظة؛ المشاعر: إيجابي؛ الأولوية: منخفض؛ الإجراء المقترح: توثيق حالة تنسيق ناجحة</x:v>
      </x:c>
      <x:c r="P95" s="16" t="str">
        <x:v>نعم</x:v>
      </x:c>
      <x:c r="Q95" s="16" t="str">
        <x:v>نعم</x:v>
      </x:c>
      <x:c r="R95" s="16" t="str">
        <x:v>test</x:v>
      </x:c>
    </x:row>
    <x:row r="96" ht="48" customHeight="1">
      <x:c r="A96" s="14" t="str">
        <x:v>NB-095</x:v>
      </x:c>
      <x:c r="B96" s="16" t="str">
        <x:v>تم الرد على استفساري بوضوح عبر الاتصال، ولم أحتج للحضور للمركز.</x:v>
      </x:c>
      <x:c r="C96" s="16" t="str">
        <x:v>اتصال هاتفي</x:v>
      </x:c>
      <x:c r="D96" s="16" t="str">
        <x:v>رفحاء</x:v>
      </x:c>
      <x:c r="E96" s="16" t="str">
        <x:v>مواطن</x:v>
      </x:c>
      <x:c r="F96" s="16" t="str">
        <x:v>رضا وشكر</x:v>
      </x:c>
      <x:c r="G96" s="16" t="str">
        <x:v>شكر</x:v>
      </x:c>
      <x:c r="H96" s="16" t="str">
        <x:v>إيجابي</x:v>
      </x:c>
      <x:c r="I96" s="16" t="str">
        <x:v>رد واضح عن بعد</x:v>
      </x:c>
      <x:c r="J96" s="16" t="str">
        <x:v>منخفض</x:v>
      </x:c>
      <x:c r="K96" s="14" t="n">
        <x:v>1</x:v>
      </x:c>
      <x:c r="L96" s="16" t="str">
        <x:v>إدارة تجربة المستفيد</x:v>
      </x:c>
      <x:c r="M96" s="16" t="str">
        <x:v>داخل الإمارة</x:v>
      </x:c>
      <x:c r="N96" s="16" t="str">
        <x:v>توثيق كفاءة قناة الاتصال</x:v>
      </x:c>
      <x:c r="O96" s="16" t="str">
        <x:v>تصنيف الموضوع: رد واضح عن بعد؛ المشاعر: إيجابي؛ الأولوية: منخفض؛ الإجراء المقترح: توثيق كفاءة قناة الاتصال</x:v>
      </x:c>
      <x:c r="P96" s="16" t="str">
        <x:v>نعم</x:v>
      </x:c>
      <x:c r="Q96" s="16" t="str">
        <x:v>نعم</x:v>
      </x:c>
      <x:c r="R96" s="16" t="str">
        <x:v>test</x:v>
      </x:c>
    </x:row>
    <x:row r="97" ht="48" customHeight="1">
      <x:c r="A97" s="14" t="str">
        <x:v>NB-096</x:v>
      </x:c>
      <x:c r="B97" s="16" t="str">
        <x:v>توجد ملاحظة عاجلة تتعلق بسلامة الطريق المؤدي لإحدى الهجر بعد الأمطار وتحتاج متابعة فورية مع الجهة المختصة.</x:v>
      </x:c>
      <x:c r="C97" s="16" t="str">
        <x:v>اتصال هاتفي</x:v>
      </x:c>
      <x:c r="D97" s="16" t="str">
        <x:v>هجرة تابعة للمنطقة</x:v>
      </x:c>
      <x:c r="E97" s="16" t="str">
        <x:v>أهالي هجرة</x:v>
      </x:c>
      <x:c r="F97" s="16" t="str">
        <x:v>حالات عاجلة وحرجة</x:v>
      </x:c>
      <x:c r="G97" s="16" t="str">
        <x:v>شكوى</x:v>
      </x:c>
      <x:c r="H97" s="16" t="str">
        <x:v>سلبي</x:v>
      </x:c>
      <x:c r="I97" s="16" t="str">
        <x:v>سلامة طريق بعد الأمطار</x:v>
      </x:c>
      <x:c r="J97" s="16" t="str">
        <x:v>حرج</x:v>
      </x:c>
      <x:c r="K97" s="14" t="n">
        <x:v>4</x:v>
      </x:c>
      <x:c r="L97" s="16" t="str">
        <x:v>إدارة المتابعة</x:v>
      </x:c>
      <x:c r="M97" s="16" t="str">
        <x:v>جهة خدمية خارجية</x:v>
      </x:c>
      <x:c r="N97" s="16" t="str">
        <x:v>تصعيد فوري ومتابعة إغلاق عاجل</x:v>
      </x:c>
      <x:c r="O97" s="16" t="str">
        <x:v>تصنيف الموضوع: سلامة طريق بعد الأمطار؛ المشاعر: سلبي؛ الأولوية: حرج؛ الإجراء المقترح: تصعيد فوري ومتابعة إغلاق عاجل</x:v>
      </x:c>
      <x:c r="P97" s="16" t="str">
        <x:v>نعم</x:v>
      </x:c>
      <x:c r="Q97" s="16" t="str">
        <x:v>نعم</x:v>
      </x:c>
      <x:c r="R97" s="16" t="str">
        <x:v>test</x:v>
      </x:c>
    </x:row>
    <x:row r="98" ht="48" customHeight="1">
      <x:c r="A98" s="14" t="str">
        <x:v>NB-097</x:v>
      </x:c>
      <x:c r="B98" s="16" t="str">
        <x:v>حفرة مكشوفة قرب مدخل مركز مأهول تشكل خطرًا على المركبات والمشاة ونطلب التدخل العاجل.</x:v>
      </x:c>
      <x:c r="C98" s="16" t="str">
        <x:v>تواصل اجتماعي</x:v>
      </x:c>
      <x:c r="D98" s="16" t="str">
        <x:v>مركز تابع للمنطقة</x:v>
      </x:c>
      <x:c r="E98" s="16" t="str">
        <x:v>أهالي مركز</x:v>
      </x:c>
      <x:c r="F98" s="16" t="str">
        <x:v>حالات عاجلة وحرجة</x:v>
      </x:c>
      <x:c r="G98" s="16" t="str">
        <x:v>شكوى</x:v>
      </x:c>
      <x:c r="H98" s="16" t="str">
        <x:v>سلبي</x:v>
      </x:c>
      <x:c r="I98" s="16" t="str">
        <x:v>خطر سلامة عامة</x:v>
      </x:c>
      <x:c r="J98" s="16" t="str">
        <x:v>حرج</x:v>
      </x:c>
      <x:c r="K98" s="14" t="n">
        <x:v>4</x:v>
      </x:c>
      <x:c r="L98" s="16" t="str">
        <x:v>إدارة المتابعة</x:v>
      </x:c>
      <x:c r="M98" s="16" t="str">
        <x:v>جهة خدمية خارجية</x:v>
      </x:c>
      <x:c r="N98" s="16" t="str">
        <x:v>إحالة عاجلة وتنبيه المسؤول المناوب</x:v>
      </x:c>
      <x:c r="O98" s="16" t="str">
        <x:v>تصنيف الموضوع: خطر سلامة عامة؛ المشاعر: سلبي؛ الأولوية: حرج؛ الإجراء المقترح: إحالة عاجلة وتنبيه المسؤول المناوب</x:v>
      </x:c>
      <x:c r="P98" s="16" t="str">
        <x:v>نعم</x:v>
      </x:c>
      <x:c r="Q98" s="16" t="str">
        <x:v>نعم</x:v>
      </x:c>
      <x:c r="R98" s="16" t="str">
        <x:v>test</x:v>
      </x:c>
    </x:row>
    <x:row r="99" ht="48" customHeight="1">
      <x:c r="A99" s="14" t="str">
        <x:v>NB-098</x:v>
      </x:c>
      <x:c r="B99" s="16" t="str">
        <x:v>تجمع مياه أمام مدخل حي بعد الأمطار يعيق الحركة ويحتاج تنسيقًا عاجلًا مع الجهة المختصة.</x:v>
      </x:c>
      <x:c r="C99" s="16" t="str">
        <x:v>بوابة الإمارة</x:v>
      </x:c>
      <x:c r="D99" s="16" t="str">
        <x:v>عرعر</x:v>
      </x:c>
      <x:c r="E99" s="16" t="str">
        <x:v>مواطن</x:v>
      </x:c>
      <x:c r="F99" s="16" t="str">
        <x:v>حالات عاجلة وحرجة</x:v>
      </x:c>
      <x:c r="G99" s="16" t="str">
        <x:v>شكوى</x:v>
      </x:c>
      <x:c r="H99" s="16" t="str">
        <x:v>سلبي</x:v>
      </x:c>
      <x:c r="I99" s="16" t="str">
        <x:v>تجمع مياه خطر</x:v>
      </x:c>
      <x:c r="J99" s="16" t="str">
        <x:v>حرج</x:v>
      </x:c>
      <x:c r="K99" s="14" t="n">
        <x:v>4</x:v>
      </x:c>
      <x:c r="L99" s="16" t="str">
        <x:v>إدارة المتابعة</x:v>
      </x:c>
      <x:c r="M99" s="16" t="str">
        <x:v>جهة خدمية خارجية</x:v>
      </x:c>
      <x:c r="N99" s="16" t="str">
        <x:v>تصعيد فوري ومتابعة ميدانية</x:v>
      </x:c>
      <x:c r="O99" s="16" t="str">
        <x:v>تصنيف الموضوع: تجمع مياه خطر؛ المشاعر: سلبي؛ الأولوية: حرج؛ الإجراء المقترح: تصعيد فوري ومتابعة ميدانية</x:v>
      </x:c>
      <x:c r="P99" s="16" t="str">
        <x:v>نعم</x:v>
      </x:c>
      <x:c r="Q99" s="16" t="str">
        <x:v>نعم</x:v>
      </x:c>
      <x:c r="R99" s="16" t="str">
        <x:v>test</x:v>
      </x:c>
    </x:row>
    <x:row r="100" ht="48" customHeight="1">
      <x:c r="A100" s="14" t="str">
        <x:v>NB-099</x:v>
      </x:c>
      <x:c r="B100" s="16" t="str">
        <x:v>يوجد انقطاع متكرر لخدمة ضرورية في مركز بعيد، ويؤثر على قدرة الأهالي على استخدام الخدمات الرقمية.</x:v>
      </x:c>
      <x:c r="C100" s="16" t="str">
        <x:v>زيارة محافظة</x:v>
      </x:c>
      <x:c r="D100" s="16" t="str">
        <x:v>مركز تابع للمنطقة</x:v>
      </x:c>
      <x:c r="E100" s="16" t="str">
        <x:v>أهالي مركز</x:v>
      </x:c>
      <x:c r="F100" s="16" t="str">
        <x:v>حالات عاجلة وحرجة</x:v>
      </x:c>
      <x:c r="G100" s="16" t="str">
        <x:v>شكوى</x:v>
      </x:c>
      <x:c r="H100" s="16" t="str">
        <x:v>سلبي</x:v>
      </x:c>
      <x:c r="I100" s="16" t="str">
        <x:v>انقطاع خدمة مؤثر</x:v>
      </x:c>
      <x:c r="J100" s="16" t="str">
        <x:v>عالي</x:v>
      </x:c>
      <x:c r="K100" s="14" t="n">
        <x:v>3</x:v>
      </x:c>
      <x:c r="L100" s="16" t="str">
        <x:v>إدارة المتابعة</x:v>
      </x:c>
      <x:c r="M100" s="16" t="str">
        <x:v>جهة خدمية خارجية</x:v>
      </x:c>
      <x:c r="N100" s="16" t="str">
        <x:v>تصعيد ومتابعة مع الجهة المختصة</x:v>
      </x:c>
      <x:c r="O100" s="16" t="str">
        <x:v>تصنيف الموضوع: انقطاع خدمة مؤثر؛ المشاعر: سلبي؛ الأولوية: عالي؛ الإجراء المقترح: تصعيد ومتابعة مع الجهة المختصة</x:v>
      </x:c>
      <x:c r="P100" s="16" t="str">
        <x:v>نعم</x:v>
      </x:c>
      <x:c r="Q100" s="16" t="str">
        <x:v>نعم</x:v>
      </x:c>
      <x:c r="R100" s="16" t="str">
        <x:v>test</x:v>
      </x:c>
    </x:row>
    <x:row r="101" ht="48" customHeight="1">
      <x:c r="A101" s="14" t="str">
        <x:v>NB-100</x:v>
      </x:c>
      <x:c r="B101" s="16" t="str">
        <x:v>وردت عدة شكاوى في يوم واحد عن نفس الموقع الخطر، ونحتاج دمجها وتصعيدها بشكل عاجل.</x:v>
      </x:c>
      <x:c r="C101" s="16" t="str">
        <x:v>نظام داخلي</x:v>
      </x:c>
      <x:c r="D101" s="16" t="str">
        <x:v>رفحاء</x:v>
      </x:c>
      <x:c r="E101" s="16" t="str">
        <x:v>موظف داخلي</x:v>
      </x:c>
      <x:c r="F101" s="16" t="str">
        <x:v>حالات عاجلة وحرجة</x:v>
      </x:c>
      <x:c r="G101" s="16" t="str">
        <x:v>ملاحظة</x:v>
      </x:c>
      <x:c r="H101" s="16" t="str">
        <x:v>سلبي</x:v>
      </x:c>
      <x:c r="I101" s="16" t="str">
        <x:v>تكرار بلاغات حرجة</x:v>
      </x:c>
      <x:c r="J101" s="16" t="str">
        <x:v>حرج</x:v>
      </x:c>
      <x:c r="K101" s="14" t="n">
        <x:v>4</x:v>
      </x:c>
      <x:c r="L101" s="16" t="str">
        <x:v>إدارة الجودة</x:v>
      </x:c>
      <x:c r="M101" s="16" t="str">
        <x:v>جهات متعددة</x:v>
      </x:c>
      <x:c r="N101" s="16" t="str">
        <x:v>دمج البلاغات وتصعيدها للإدارة المختصة</x:v>
      </x:c>
      <x:c r="O101" s="16" t="str">
        <x:v>تصنيف الموضوع: تكرار بلاغات حرجة؛ المشاعر: سلبي؛ الأولوية: حرج؛ الإجراء المقترح: دمج البلاغات وتصعيدها للإدارة المختصة</x:v>
      </x:c>
      <x:c r="P101" s="16" t="str">
        <x:v>نعم</x:v>
      </x:c>
      <x:c r="Q101" s="16" t="str">
        <x:v>نعم</x:v>
      </x:c>
      <x:c r="R101" s="16" t="str">
        <x:v>test</x:v>
      </x:c>
    </x:row>
  </x:sheetData>
  <x:conditionalFormatting sqref="J2:J101">
    <x:cfRule type="cellIs" dxfId="0" priority="1">
      <x:formula>"حرج"</x:formula>
    </x:cfRule>
    <x:cfRule type="cellIs" dxfId="1" priority="2">
      <x:formula>"عالي"</x:formula>
    </x:cfRule>
  </x:conditionalFormatting>
  <x:conditionalFormatting sqref="H2:H101">
    <x:cfRule type="cellIs" dxfId="2" priority="3">
      <x:formula>"سلبي"</x:formula>
    </x:cfRule>
    <x:cfRule type="cellIs" dxfId="3" priority="4">
      <x:formula>"إيجابي"</x:formula>
    </x:cfRule>
  </x:conditionalFormatting>
  <x:dataValidations count="10">
    <x:dataValidation type="list" sqref="C2:C101">
      <x:formula1>Label_Guide!$F$2:$F$10</x:formula1>
    </x:dataValidation>
    <x:dataValidation type="list" sqref="D2:D101">
      <x:formula1>Label_Guide!$G$2:$G$8</x:formula1>
    </x:dataValidation>
    <x:dataValidation type="list" sqref="E2:E101">
      <x:formula1>Label_Guide!$H$2:$H$11</x:formula1>
    </x:dataValidation>
    <x:dataValidation type="list" sqref="F2:F101">
      <x:formula1>Label_Guide!$I$2:$I$10</x:formula1>
    </x:dataValidation>
    <x:dataValidation type="list" sqref="G2:G101">
      <x:formula1>Label_Guide!$J$2:$J$6</x:formula1>
    </x:dataValidation>
    <x:dataValidation type="list" sqref="H2:H101">
      <x:formula1>Label_Guide!$K$2:$K$5</x:formula1>
    </x:dataValidation>
    <x:dataValidation type="list" sqref="J2:J101">
      <x:formula1>Label_Guide!$L$2:$L$5</x:formula1>
    </x:dataValidation>
    <x:dataValidation type="list" sqref="L2:L101">
      <x:formula1>Label_Guide!$M$2:$M$7</x:formula1>
    </x:dataValidation>
    <x:dataValidation type="list" sqref="M2:M101">
      <x:formula1>Label_Guide!$N$2:$N$6</x:formula1>
    </x:dataValidation>
    <x:dataValidation type="list" sqref="R2:R101">
      <x:formula1>Label_Guide!$O$2:$O$4</x:formula1>
    </x:dataValidation>
  </x:dataValidations>
  <x:pageMargins left="0.7" right="0.7" top="0.75" bottom="0.75" header="0.3" footer="0.3"/>
  <x:tableParts count="1">
    <x:tablePart xmlns:r="http://schemas.openxmlformats.org/officeDocument/2006/relationships" r:id="R2f52962a88f0430c"/>
  </x:tableParts>
</x:worksheet>
</file>

<file path=xl/worksheets/sheet2.xml><?xml version="1.0" encoding="utf-8"?>
<x:worksheet xmlns:x="http://schemas.openxmlformats.org/spreadsheetml/2006/main">
  <x:sheetFormatPr defaultRowHeight="15"/>
  <x:cols>
    <x:col min="1" max="1" width="20" hidden="0" customWidth="1"/>
    <x:col min="2" max="2" width="45" hidden="0" customWidth="1"/>
    <x:col min="3" max="3" width="45" hidden="0" customWidth="1"/>
    <x:col min="4" max="4" width="35"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s>
  <x:sheetData>
    <x:row r="1">
      <x:c r="A1" s="18" t="str">
        <x:v>field</x:v>
      </x:c>
      <x:c r="B1" s="18" t="str">
        <x:v>description_ar</x:v>
      </x:c>
      <x:c r="C1" s="18" t="str">
        <x:v>allowed_values_or_notes</x:v>
      </x:c>
      <x:c r="D1" s="18" t="str">
        <x:v>prototype_use</x:v>
      </x:c>
      <x:c r="F1" s="6" t="str">
        <x:v>channels</x:v>
      </x:c>
      <x:c r="G1" s="6" t="str">
        <x:v>locations</x:v>
      </x:c>
      <x:c r="H1" s="6" t="str">
        <x:v>segments</x:v>
      </x:c>
      <x:c r="I1" s="6" t="str">
        <x:v>service_domains</x:v>
      </x:c>
      <x:c r="J1" s="6" t="str">
        <x:v>request_types</x:v>
      </x:c>
      <x:c r="K1" s="6" t="str">
        <x:v>sentiments</x:v>
      </x:c>
      <x:c r="L1" s="6" t="str">
        <x:v>urgencies</x:v>
      </x:c>
      <x:c r="M1" s="6" t="str">
        <x:v>target_units</x:v>
      </x:c>
      <x:c r="N1" s="6" t="str">
        <x:v>entity_types</x:v>
      </x:c>
      <x:c r="O1" s="6" t="str">
        <x:v>splits</x:v>
      </x:c>
    </x:row>
    <x:row r="2">
      <x:c r="A2" s="12" t="str">
        <x:v>id</x:v>
      </x:c>
      <x:c r="B2" s="12" t="str">
        <x:v>معرّف صف فريد لعينة البيانات</x:v>
      </x:c>
      <x:c r="C2" s="12" t="str">
        <x:v>NB-001 إلى NB-100</x:v>
      </x:c>
      <x:c r="D2" s="12" t="str">
        <x:v>للتتبع داخل النموذج الأولي</x:v>
      </x:c>
      <x:c r="F2" t="str">
        <x:v>اتصال هاتفي</x:v>
      </x:c>
      <x:c r="G2" t="str">
        <x:v>إحدى القرى التابعة للمنطقة</x:v>
      </x:c>
      <x:c r="H2" t="str">
        <x:v>أهالي قرية</x:v>
      </x:c>
      <x:c r="I2" t="str">
        <x:v>متابعة المعاملات والطلبات لدى الإمارة</x:v>
      </x:c>
      <x:c r="J2" t="str">
        <x:v>شكوى</x:v>
      </x:c>
      <x:c r="K2" t="str">
        <x:v>سلبي</x:v>
      </x:c>
      <x:c r="L2" t="str">
        <x:v>منخفض</x:v>
      </x:c>
      <x:c r="M2" t="str">
        <x:v>إدارة الجودة</x:v>
      </x:c>
      <x:c r="N2" t="str">
        <x:v>جهات متعددة</x:v>
      </x:c>
      <x:c r="O2" t="str">
        <x:v>train</x:v>
      </x:c>
    </x:row>
    <x:row r="3">
      <x:c r="A3" s="12" t="str">
        <x:v>text_ar</x:v>
      </x:c>
      <x:c r="B3" s="12" t="str">
        <x:v>نص الشكوى أو الملاحظة أو الاستفسار باللغة العربية</x:v>
      </x:c>
      <x:c r="C3" s="12" t="str">
        <x:v>نص مصطنع ومجهول الهوية</x:v>
      </x:c>
      <x:c r="D3" s="12" t="str">
        <x:v>مدخل NLP الرئيسي</x:v>
      </x:c>
      <x:c r="F3" t="str">
        <x:v>البريد الإلكتروني</x:v>
      </x:c>
      <x:c r="G3" t="str">
        <x:v>العويقيلة</x:v>
      </x:c>
      <x:c r="H3" t="str">
        <x:v>أهالي محافظة</x:v>
      </x:c>
      <x:c r="I3" t="str">
        <x:v>المركز الشامل وخدمات الجمهور</x:v>
      </x:c>
      <x:c r="J3" t="str">
        <x:v>استفسار</x:v>
      </x:c>
      <x:c r="K3" t="str">
        <x:v>محايد</x:v>
      </x:c>
      <x:c r="L3" t="str">
        <x:v>متوسط</x:v>
      </x:c>
      <x:c r="M3" t="str">
        <x:v>إدارة المتابعة</x:v>
      </x:c>
      <x:c r="N3" t="str">
        <x:v>جهة خدمية خارجية</x:v>
      </x:c>
      <x:c r="O3" t="str">
        <x:v>validation</x:v>
      </x:c>
    </x:row>
    <x:row r="4">
      <x:c r="A4" s="12" t="str">
        <x:v>channel</x:v>
      </x:c>
      <x:c r="B4" s="12" t="str">
        <x:v>قناة ورود النص</x:v>
      </x:c>
      <x:c r="C4" s="12" t="str">
        <x:v>المركز الشامل، بوابة الإمارة، اتصال هاتفي، ...</x:v>
      </x:c>
      <x:c r="D4" s="12" t="str">
        <x:v>تحليل مصدر البلاغ</x:v>
      </x:c>
      <x:c r="F4" t="str">
        <x:v>المركز الشامل</x:v>
      </x:c>
      <x:c r="G4" t="str">
        <x:v>رفحاء</x:v>
      </x:c>
      <x:c r="H4" t="str">
        <x:v>أهالي مركز</x:v>
      </x:c>
      <x:c r="I4" t="str">
        <x:v>الشكاوى والملاحظات المحالة لجهات خدمية</x:v>
      </x:c>
      <x:c r="J4" t="str">
        <x:v>اقتراح</x:v>
      </x:c>
      <x:c r="K4" t="str">
        <x:v>إيجابي</x:v>
      </x:c>
      <x:c r="L4" t="str">
        <x:v>عالي</x:v>
      </x:c>
      <x:c r="M4" t="str">
        <x:v>إدارة تجربة المستفيد</x:v>
      </x:c>
      <x:c r="N4" t="str">
        <x:v>داخل الإمارة</x:v>
      </x:c>
      <x:c r="O4" t="str">
        <x:v>test</x:v>
      </x:c>
    </x:row>
    <x:row r="5">
      <x:c r="A5" s="12" t="str">
        <x:v>location_scope</x:v>
      </x:c>
      <x:c r="B5" s="12" t="str">
        <x:v>النطاق الجغرافي أو الإداري المرتبط بالنص</x:v>
      </x:c>
      <x:c r="C5" s="12" t="str">
        <x:v>عرعر، رفحاء، طريف، العويقيلة، مركز، قرية، هجرة</x:v>
      </x:c>
      <x:c r="D5" s="12" t="str">
        <x:v>تحليل مكاني وتشغيلي</x:v>
      </x:c>
      <x:c r="F5" t="str">
        <x:v>بوابة الإمارة</x:v>
      </x:c>
      <x:c r="G5" t="str">
        <x:v>طريف</x:v>
      </x:c>
      <x:c r="H5" t="str">
        <x:v>أهالي هجرة</x:v>
      </x:c>
      <x:c r="I5" t="str">
        <x:v>المحافظات والمراكز والقرى والهجر</x:v>
      </x:c>
      <x:c r="J5" t="str">
        <x:v>شكر</x:v>
      </x:c>
      <x:c r="K5" t="str">
        <x:v>مختلط</x:v>
      </x:c>
      <x:c r="L5" t="str">
        <x:v>حرج</x:v>
      </x:c>
      <x:c r="M5" t="str">
        <x:v>إدارة تقنية المعلومات</x:v>
      </x:c>
      <x:c r="N5" t="str">
        <x:v>داخل الإمارة/جهة خارجية</x:v>
      </x:c>
      <x:c r="O5"/>
    </x:row>
    <x:row r="6">
      <x:c r="A6" s="12" t="str">
        <x:v>beneficiary_segment</x:v>
      </x:c>
      <x:c r="B6" s="12" t="str">
        <x:v>فئة المستفيد</x:v>
      </x:c>
      <x:c r="C6" s="12" t="str">
        <x:v>مواطن، مقيم، أهالي قرية، موظف داخلي، ...</x:v>
      </x:c>
      <x:c r="D6" s="12" t="str">
        <x:v>تحليل الفئات المستهدفة</x:v>
      </x:c>
      <x:c r="F6" t="str">
        <x:v>تواصل اجتماعي</x:v>
      </x:c>
      <x:c r="G6" t="str">
        <x:v>عرعر</x:v>
      </x:c>
      <x:c r="H6" t="str">
        <x:v>قطاع خاص/مكتب خدمات</x:v>
      </x:c>
      <x:c r="I6" t="str">
        <x:v>القنوات الرقمية والنماذج الإلكترونية</x:v>
      </x:c>
      <x:c r="J6" t="str">
        <x:v>ملاحظة</x:v>
      </x:c>
      <x:c r="K6"/>
      <x:c r="L6"/>
      <x:c r="M6" t="str">
        <x:v>المحافظة/المركز</x:v>
      </x:c>
      <x:c r="N6" t="str">
        <x:v>داخل الإمارة/مزود خدمة</x:v>
      </x:c>
      <x:c r="O6"/>
    </x:row>
    <x:row r="7">
      <x:c r="A7" s="12" t="str">
        <x:v>service_domain</x:v>
      </x:c>
      <x:c r="B7" s="12" t="str">
        <x:v>المجال التشغيلي الرئيسي</x:v>
      </x:c>
      <x:c r="C7" s="12" t="str">
        <x:v>9 مجالات متوافقة مع أعمال الإمارة</x:v>
      </x:c>
      <x:c r="D7" s="12" t="str">
        <x:v>تصنيف رئيسي</x:v>
      </x:c>
      <x:c r="F7" t="str">
        <x:v>رسالة نصية</x:v>
      </x:c>
      <x:c r="G7" t="str">
        <x:v>مركز تابع للمنطقة</x:v>
      </x:c>
      <x:c r="H7" t="str">
        <x:v>كبار السن</x:v>
      </x:c>
      <x:c r="I7" t="str">
        <x:v>الاستفسارات عن المتطلبات والإجراءات</x:v>
      </x:c>
      <x:c r="J7"/>
      <x:c r="K7"/>
      <x:c r="L7"/>
      <x:c r="M7" t="str">
        <x:v>المركز الشامل</x:v>
      </x:c>
      <x:c r="N7"/>
      <x:c r="O7"/>
    </x:row>
    <x:row r="8">
      <x:c r="A8" s="12" t="str">
        <x:v>request_type</x:v>
      </x:c>
      <x:c r="B8" s="12" t="str">
        <x:v>نوع الطلب</x:v>
      </x:c>
      <x:c r="C8" s="12" t="str">
        <x:v>شكوى، استفسار، اقتراح، شكر، ملاحظة</x:v>
      </x:c>
      <x:c r="D8" s="12" t="str">
        <x:v>تصنيف نوع التفاعل</x:v>
      </x:c>
      <x:c r="F8" t="str">
        <x:v>زيارة محافظة</x:v>
      </x:c>
      <x:c r="G8" t="str">
        <x:v>هجرة تابعة للمنطقة</x:v>
      </x:c>
      <x:c r="H8" t="str">
        <x:v>مقيم</x:v>
      </x:c>
      <x:c r="I8" t="str">
        <x:v>اقتراحات تحسين تجربة المستفيد</x:v>
      </x:c>
      <x:c r="J8"/>
      <x:c r="K8"/>
      <x:c r="L8"/>
      <x:c r="M8"/>
      <x:c r="N8"/>
      <x:c r="O8"/>
    </x:row>
    <x:row r="9">
      <x:c r="A9" s="12" t="str">
        <x:v>sentiment</x:v>
      </x:c>
      <x:c r="B9" s="12" t="str">
        <x:v>نتيجة تحليل المشاعر</x:v>
      </x:c>
      <x:c r="C9" s="12" t="str">
        <x:v>سلبي، محايد، إيجابي، مختلط</x:v>
      </x:c>
      <x:c r="D9" s="12" t="str">
        <x:v>Sentiment Analysis</x:v>
      </x:c>
      <x:c r="F9" t="str">
        <x:v>زيارة مقر</x:v>
      </x:c>
      <x:c r="G9"/>
      <x:c r="H9" t="str">
        <x:v>مندوب جهة</x:v>
      </x:c>
      <x:c r="I9" t="str">
        <x:v>رضا وشكر</x:v>
      </x:c>
      <x:c r="J9"/>
      <x:c r="K9"/>
      <x:c r="L9"/>
      <x:c r="M9"/>
      <x:c r="N9"/>
      <x:c r="O9"/>
    </x:row>
    <x:row r="10">
      <x:c r="A10" s="12" t="str">
        <x:v>topic_label</x:v>
      </x:c>
      <x:c r="B10" s="12" t="str">
        <x:v>الموضوع التفصيلي للنص</x:v>
      </x:c>
      <x:c r="C10" s="12" t="str">
        <x:v>تأخر معالجة، تتبع إحالة، زمن انتظار، ...</x:v>
      </x:c>
      <x:c r="D10" s="12" t="str">
        <x:v>Topic Modeling / Classification</x:v>
      </x:c>
      <x:c r="F10" t="str">
        <x:v>نظام داخلي</x:v>
      </x:c>
      <x:c r="G10"/>
      <x:c r="H10" t="str">
        <x:v>مواطن</x:v>
      </x:c>
      <x:c r="I10" t="str">
        <x:v>حالات عاجلة وحرجة</x:v>
      </x:c>
      <x:c r="J10"/>
      <x:c r="K10"/>
      <x:c r="L10"/>
      <x:c r="M10"/>
      <x:c r="N10"/>
      <x:c r="O10"/>
    </x:row>
    <x:row r="11">
      <x:c r="A11" s="12" t="str">
        <x:v>urgency</x:v>
      </x:c>
      <x:c r="B11" s="12" t="str">
        <x:v>درجة الأولوية التشغيلية</x:v>
      </x:c>
      <x:c r="C11" s="12" t="str">
        <x:v>منخفض، متوسط، عالي، حرج</x:v>
      </x:c>
      <x:c r="D11" s="12" t="str">
        <x:v>Prioritization</x:v>
      </x:c>
      <x:c r="F11"/>
      <x:c r="G11"/>
      <x:c r="H11" t="str">
        <x:v>موظف داخلي</x:v>
      </x:c>
      <x:c r="I11"/>
      <x:c r="J11"/>
      <x:c r="K11"/>
      <x:c r="L11"/>
      <x:c r="M11"/>
      <x:c r="N11"/>
      <x:c r="O11"/>
    </x:row>
    <x:row r="12">
      <x:c r="A12" s="12" t="str">
        <x:v>priority_score</x:v>
      </x:c>
      <x:c r="B12" s="12" t="str">
        <x:v>قيمة رقمية للأولوية</x:v>
      </x:c>
      <x:c r="C12" s="12" t="str">
        <x:v>1 منخفض، 2 متوسط، 3 عالي، 4 حرج</x:v>
      </x:c>
      <x:c r="D12" s="12" t="str">
        <x:v>قابل للرسم في Dashboard</x:v>
      </x:c>
    </x:row>
    <x:row r="13">
      <x:c r="A13" s="12" t="str">
        <x:v>target_unit</x:v>
      </x:c>
      <x:c r="B13" s="12" t="str">
        <x:v>الوحدة المقترحة للتعامل مع النص</x:v>
      </x:c>
      <x:c r="C13" s="12" t="str">
        <x:v>إدارة المتابعة، المركز الشامل، إدارة الجودة، ...</x:v>
      </x:c>
      <x:c r="D13" s="12" t="str">
        <x:v>Routing</x:v>
      </x:c>
    </x:row>
    <x:row r="14">
      <x:c r="A14" s="12" t="str">
        <x:v>referred_entity_type</x:v>
      </x:c>
      <x:c r="B14" s="12" t="str">
        <x:v>نوع الجهة المالكة أو المحال إليها</x:v>
      </x:c>
      <x:c r="C14" s="12" t="str">
        <x:v>داخل الإمارة، جهة خدمية خارجية، جهات متعددة</x:v>
      </x:c>
      <x:c r="D14" s="12" t="str">
        <x:v>تمييز الملكية التشغيلية</x:v>
      </x:c>
    </x:row>
    <x:row r="15">
      <x:c r="A15" s="12" t="str">
        <x:v>recommended_action</x:v>
      </x:c>
      <x:c r="B15" s="12" t="str">
        <x:v>الإجراء التشغيلي المقترح</x:v>
      </x:c>
      <x:c r="C15" s="12" t="str">
        <x:v>تصعيد، متابعة، إحالة، تحسين رسالة، توثيق رضا</x:v>
      </x:c>
      <x:c r="D15" s="12" t="str">
        <x:v>Decision Support</x:v>
      </x:c>
    </x:row>
    <x:row r="16">
      <x:c r="A16" s="12" t="str">
        <x:v>expected_ai_output</x:v>
      </x:c>
      <x:c r="B16" s="12" t="str">
        <x:v>المخرج المتوقع من النموذج</x:v>
      </x:c>
      <x:c r="C16" s="12" t="str">
        <x:v>ملخص تصنيف + مشاعر + أولوية + إجراء</x:v>
      </x:c>
      <x:c r="D16" s="12" t="str">
        <x:v>مقارنة مخرجات النموذج مع الوسم اليدوي</x:v>
      </x:c>
    </x:row>
    <x:row r="17">
      <x:c r="A17" s="12" t="str">
        <x:v>is_synthetic</x:v>
      </x:c>
      <x:c r="B17" s="12" t="str">
        <x:v>هل النص مصطنع؟</x:v>
      </x:c>
      <x:c r="C17" s="12" t="str">
        <x:v>نعم</x:v>
      </x:c>
      <x:c r="D17" s="12" t="str">
        <x:v>إثبات عدم استخدام بيانات شخصية</x:v>
      </x:c>
    </x:row>
    <x:row r="18">
      <x:c r="A18" s="12" t="str">
        <x:v>pii_removed</x:v>
      </x:c>
      <x:c r="B18" s="12" t="str">
        <x:v>هل تمت إزالة البيانات الشخصية؟</x:v>
      </x:c>
      <x:c r="C18" s="12" t="str">
        <x:v>نعم</x:v>
      </x:c>
      <x:c r="D18" s="12" t="str">
        <x:v>خصوصية البيانات</x:v>
      </x:c>
    </x:row>
    <x:row r="19">
      <x:c r="A19" s="12" t="str">
        <x:v>split</x:v>
      </x:c>
      <x:c r="B19" s="12" t="str">
        <x:v>تقسيم البيانات لأغراض الاختبار</x:v>
      </x:c>
      <x:c r="C19" s="12" t="str">
        <x:v>train / validation / test</x:v>
      </x:c>
      <x:c r="D19" s="12" t="str">
        <x:v>تجارب النموذج الأولي</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8" customHeight="1">
      <x:c r="A1" s="22" t="str">
        <x:v>ملخص بيانات النموذج الأولي - نظام تحليل المشاعر والشكاوى</x:v>
      </x:c>
    </x:row>
    <x:row r="3">
      <x:c r="A3" s="18" t="str">
        <x:v>المؤشر</x:v>
      </x:c>
      <x:c r="B3" s="18" t="str">
        <x:v>القيمة</x:v>
      </x:c>
    </x:row>
    <x:row r="4">
      <x:c r="A4" s="14" t="str">
        <x:v>عدد النصوص</x:v>
      </x:c>
      <x:c r="B4" s="14" t="n">
        <x:f>COUNTA(Data_100!$A$2:$A$101)</x:f>
        <x:v>100</x:v>
      </x:c>
    </x:row>
    <x:row r="5">
      <x:c r="A5" s="14" t="str">
        <x:v>عدد المجالات</x:v>
      </x:c>
      <x:c r="B5" s="14" t="n">
        <x:f>COUNTA(Label_Guide!$I$2:$I$10)</x:f>
        <x:v>9</x:v>
      </x:c>
    </x:row>
    <x:row r="6">
      <x:c r="A6" s="14" t="str">
        <x:v>نسبة النصوص المصطنعة</x:v>
      </x:c>
      <x:c r="B6" s="30" t="n">
        <x:f>COUNTIF(Data_100!$P$2:$P$101,"نعم")/COUNTA(Data_100!$A$2:$A$101)</x:f>
        <x:v>1</x:v>
      </x:c>
    </x:row>
    <x:row r="8">
      <x:c r="A8" s="18" t="str">
        <x:v>المجال</x:v>
      </x:c>
      <x:c r="B8" s="18" t="str">
        <x:v>العدد</x:v>
      </x:c>
      <x:c r="D8" s="18" t="str">
        <x:v>المشاعر</x:v>
      </x:c>
      <x:c r="E8" s="18" t="str">
        <x:v>العدد</x:v>
      </x:c>
      <x:c r="G8" s="18" t="str">
        <x:v>الأولوية</x:v>
      </x:c>
      <x:c r="H8" s="18" t="str">
        <x:v>العدد</x:v>
      </x:c>
      <x:c r="J8" s="18" t="str">
        <x:v>نوع الطلب</x:v>
      </x:c>
      <x:c r="K8" s="18" t="str">
        <x:v>العدد</x:v>
      </x:c>
    </x:row>
    <x:row r="9">
      <x:c r="A9" s="14" t="str">
        <x:v>متابعة المعاملات والطلبات لدى الإمارة</x:v>
      </x:c>
      <x:c r="B9" s="14" t="n">
        <x:f>COUNTIF(Data_100!$F$2:$F$101,A9)</x:f>
        <x:v>18</x:v>
      </x:c>
      <x:c r="D9" s="14" t="str">
        <x:v>سلبي</x:v>
      </x:c>
      <x:c r="E9" s="14" t="n">
        <x:f>COUNTIF(Data_100!$H$2:$H$101,D9)</x:f>
        <x:v>48</x:v>
      </x:c>
      <x:c r="G9" s="14" t="str">
        <x:v>منخفض</x:v>
      </x:c>
      <x:c r="H9" s="14" t="n">
        <x:f>COUNTIF(Data_100!$J$2:$J$101,G9)</x:f>
        <x:v>47</x:v>
      </x:c>
      <x:c r="J9" s="14" t="str">
        <x:v>شكوى</x:v>
      </x:c>
      <x:c r="K9" s="14" t="n">
        <x:f>COUNTIF(Data_100!$G$2:$G$101,J9)</x:f>
        <x:v>46</x:v>
      </x:c>
    </x:row>
    <x:row r="10">
      <x:c r="A10" s="14" t="str">
        <x:v>المركز الشامل وخدمات الجمهور</x:v>
      </x:c>
      <x:c r="B10" s="14" t="n">
        <x:f>COUNTIF(Data_100!$F$2:$F$101,A10)</x:f>
        <x:v>15</x:v>
      </x:c>
      <x:c r="D10" s="14" t="str">
        <x:v>محايد</x:v>
      </x:c>
      <x:c r="E10" s="14" t="n">
        <x:f>COUNTIF(Data_100!$H$2:$H$101,D10)</x:f>
        <x:v>38</x:v>
      </x:c>
      <x:c r="G10" s="14" t="str">
        <x:v>متوسط</x:v>
      </x:c>
      <x:c r="H10" s="14" t="n">
        <x:f>COUNTIF(Data_100!$J$2:$J$101,G10)</x:f>
        <x:v>40</x:v>
      </x:c>
      <x:c r="J10" s="14" t="str">
        <x:v>استفسار</x:v>
      </x:c>
      <x:c r="K10" s="14" t="n">
        <x:f>COUNTIF(Data_100!$G$2:$G$101,J10)</x:f>
        <x:v>14</x:v>
      </x:c>
    </x:row>
    <x:row r="11">
      <x:c r="A11" s="14" t="str">
        <x:v>الشكاوى والملاحظات المحالة لجهات خدمية</x:v>
      </x:c>
      <x:c r="B11" s="14" t="n">
        <x:f>COUNTIF(Data_100!$F$2:$F$101,A11)</x:f>
        <x:v>15</x:v>
      </x:c>
      <x:c r="D11" s="14" t="str">
        <x:v>إيجابي</x:v>
      </x:c>
      <x:c r="E11" s="14" t="n">
        <x:f>COUNTIF(Data_100!$H$2:$H$101,D11)</x:f>
        <x:v>13</x:v>
      </x:c>
      <x:c r="G11" s="14" t="str">
        <x:v>عالي</x:v>
      </x:c>
      <x:c r="H11" s="14" t="n">
        <x:f>COUNTIF(Data_100!$J$2:$J$101,G11)</x:f>
        <x:v>9</x:v>
      </x:c>
      <x:c r="J11" s="14" t="str">
        <x:v>اقتراح</x:v>
      </x:c>
      <x:c r="K11" s="14" t="n">
        <x:f>COUNTIF(Data_100!$G$2:$G$101,J11)</x:f>
        <x:v>21</x:v>
      </x:c>
    </x:row>
    <x:row r="12">
      <x:c r="A12" s="14" t="str">
        <x:v>المحافظات والمراكز والقرى والهجر</x:v>
      </x:c>
      <x:c r="B12" s="14" t="n">
        <x:f>COUNTIF(Data_100!$F$2:$F$101,A12)</x:f>
        <x:v>15</x:v>
      </x:c>
      <x:c r="D12" s="14" t="str">
        <x:v>مختلط</x:v>
      </x:c>
      <x:c r="E12" s="14" t="n">
        <x:f>COUNTIF(Data_100!$H$2:$H$101,D12)</x:f>
        <x:v>1</x:v>
      </x:c>
      <x:c r="G12" s="14" t="str">
        <x:v>حرج</x:v>
      </x:c>
      <x:c r="H12" s="14" t="n">
        <x:f>COUNTIF(Data_100!$J$2:$J$101,G12)</x:f>
        <x:v>4</x:v>
      </x:c>
      <x:c r="J12" s="14" t="str">
        <x:v>شكر</x:v>
      </x:c>
      <x:c r="K12" s="14" t="n">
        <x:f>COUNTIF(Data_100!$G$2:$G$101,J12)</x:f>
        <x:v>13</x:v>
      </x:c>
    </x:row>
    <x:row r="13">
      <x:c r="A13" s="14" t="str">
        <x:v>القنوات الرقمية والنماذج الإلكترونية</x:v>
      </x:c>
      <x:c r="B13" s="14" t="n">
        <x:f>COUNTIF(Data_100!$F$2:$F$101,A13)</x:f>
        <x:v>10</x:v>
      </x:c>
      <x:c r="J13" s="14" t="str">
        <x:v>ملاحظة</x:v>
      </x:c>
      <x:c r="K13" s="14" t="n">
        <x:f>COUNTIF(Data_100!$G$2:$G$101,J13)</x:f>
        <x:v>6</x:v>
      </x:c>
    </x:row>
    <x:row r="14">
      <x:c r="A14" s="14" t="str">
        <x:v>الاستفسارات عن المتطلبات والإجراءات</x:v>
      </x:c>
      <x:c r="B14" s="14" t="n">
        <x:f>COUNTIF(Data_100!$F$2:$F$101,A14)</x:f>
        <x:v>8</x:v>
      </x:c>
    </x:row>
    <x:row r="15">
      <x:c r="A15" s="14" t="str">
        <x:v>اقتراحات تحسين تجربة المستفيد</x:v>
      </x:c>
      <x:c r="B15" s="14" t="n">
        <x:f>COUNTIF(Data_100!$F$2:$F$101,A15)</x:f>
        <x:v>8</x:v>
      </x:c>
    </x:row>
    <x:row r="16">
      <x:c r="A16" s="14" t="str">
        <x:v>رضا وشكر</x:v>
      </x:c>
      <x:c r="B16" s="14" t="n">
        <x:f>COUNTIF(Data_100!$F$2:$F$101,A16)</x:f>
        <x:v>6</x:v>
      </x:c>
    </x:row>
    <x:row r="17">
      <x:c r="A17" s="14" t="str">
        <x:v>حالات عاجلة وحرجة</x:v>
      </x:c>
      <x:c r="B17" s="14" t="n">
        <x:f>COUNTIF(Data_100!$F$2:$F$101,A17)</x:f>
        <x:v>5</x:v>
      </x:c>
    </x:row>
    <x:row r="20">
      <x:c r="A20" s="6" t="str">
        <x:v>ملاحظة استخدام</x:v>
      </x:c>
    </x:row>
    <x:row r="21" ht="60" customHeight="1">
      <x:c r="A21" s="14" t="str">
        <x:v>هذه البيانات مصطنعة ومجهولة الهوية ومخصصة لاختبار نموذج أولي لتحليل نصوص الشكاوى والملاحظات والاستفسارات الواردة إلى إمارة منطقة الحدود الشمالية. الوسوم اليدوية مهيأة لاختبار التصنيف الموضوعي، تحليل المشاعر، تحديد الأولوية، وتوليد التوصية التشغيلية. لا تستخدم هذه البيانات كدليل أثر فعلي؛ بل كبيانات Prototype فقط.</x:v>
      </x:c>
    </x:row>
    <x:row r="22" ht="60" customHeight="1"/>
    <x:row r="23" ht="60" customHeight="1"/>
    <x:row r="24" ht="60" customHeight="1"/>
  </x:sheetData>
  <x:mergeCells>
    <x:mergeCell ref="A1:K1"/>
    <x:mergeCell ref="A20:K20"/>
    <x:mergeCell ref="A21:K24"/>
  </x:mergeCells>
  <x:pageMargins left="0.7" right="0.7" top="0.75" bottom="0.75" header="0.3" footer="0.3"/>
</x:worksheet>
</file>